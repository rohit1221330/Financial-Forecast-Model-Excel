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ROHIT\Financial analyst\Phase 1\"/>
    </mc:Choice>
  </mc:AlternateContent>
  <xr:revisionPtr revIDLastSave="0" documentId="13_ncr:1_{BE62BAD7-030B-4285-B8D7-5313F9CDAB0B}" xr6:coauthVersionLast="36" xr6:coauthVersionMax="36" xr10:uidLastSave="{00000000-0000-0000-0000-000000000000}"/>
  <bookViews>
    <workbookView xWindow="0" yWindow="0" windowWidth="20490" windowHeight="8115" firstSheet="3" activeTab="6" xr2:uid="{00000000-000D-0000-FFFF-FFFF00000000}"/>
  </bookViews>
  <sheets>
    <sheet name="1_Executive_Summary" sheetId="9" r:id="rId1"/>
    <sheet name="Dashboard" sheetId="8" r:id="rId2"/>
    <sheet name="Forecast_Model" sheetId="7" r:id="rId3"/>
    <sheet name="Historical_Analysis" sheetId="6" r:id="rId4"/>
    <sheet name="Historical_Operations" sheetId="1" r:id="rId5"/>
    <sheet name="Historical_Financials" sheetId="2" r:id="rId6"/>
    <sheet name="Assumptions" sheetId="3" r:id="rId7"/>
    <sheet name="Scenarios" sheetId="4" r:id="rId8"/>
    <sheet name="Forecast_Drivers" sheetId="5" r:id="rId9"/>
  </sheets>
  <definedNames>
    <definedName name="_xlnm._FilterDatabase" localSheetId="6" hidden="1">Assumptions!#REF!</definedName>
    <definedName name="_xlnm._FilterDatabase" localSheetId="8" hidden="1">Forecast_Drivers!$A$1:$D$73</definedName>
    <definedName name="_xlnm._FilterDatabase" localSheetId="5" hidden="1">Historical_Financials!$A$1:$Q$37</definedName>
    <definedName name="_xlnm._FilterDatabase" localSheetId="4" hidden="1">Historical_Operations!$A$1:$G$433</definedName>
    <definedName name="_xlnm._FilterDatabase" localSheetId="7" hidden="1">Scenarios!$A$1:$D$4</definedName>
  </definedNames>
  <calcPr calcId="191029"/>
  <pivotCaches>
    <pivotCache cacheId="0" r:id="rId10"/>
    <pivotCache cacheId="1" r:id="rId11"/>
    <pivotCache cacheId="2" r:id="rId12"/>
    <pivotCache cacheId="3" r:id="rId13"/>
    <pivotCache cacheId="4" r:id="rId14"/>
    <pivotCache cacheId="5" r:id="rId15"/>
  </pivotCaches>
  <extLst>
    <ext xmlns:x15="http://schemas.microsoft.com/office/spreadsheetml/2010/11/main" uri="{FCE2AD5D-F65C-4FA6-A056-5C36A1767C68}">
      <x15:dataModel>
        <x15:modelTables>
          <x15:modelTable id="tbl_HistOps_a743525b-c186-4529-ad3b-220129695127" name="tbl_HistOps" connection="Query - tbl_HistOps"/>
          <x15:modelTable id="tbl_HistFin_dc910ad6-0560-4e09-a2d3-6e6ef2570a4a" name="tbl_HistFin" connection="Query - tbl_HistFin"/>
        </x15:modelTables>
        <x15:extLst>
          <ext xmlns:x16="http://schemas.microsoft.com/office/spreadsheetml/2014/11/main" uri="{9835A34E-60A6-4A7C-AAB8-D5F71C897F49}">
            <x16:modelTimeGroupings>
              <x16:modelTimeGrouping tableName="tbl_HistFin" columnName="Month" columnId="Month">
                <x16:calculatedTimeColumn columnName="Month (Year)" columnId="Month (Year)" contentType="years" isSelected="1"/>
                <x16:calculatedTimeColumn columnName="Month (Quarter)" columnId="Month (Quarter)" contentType="quarters" isSelected="1"/>
                <x16:calculatedTimeColumn columnName="Month (Month Index)" columnId="Month (Month Index)" contentType="monthsindex" isSelected="1"/>
                <x16:calculatedTimeColumn columnName="Month (Month)" columnId="Month (Month)" contentType="months" isSelected="1"/>
              </x16:modelTimeGrouping>
              <x16:modelTimeGrouping tableName="tbl_HistOps" columnName="Month" columnId="Month">
                <x16:calculatedTimeColumn columnName="Month (Year)" columnId="Month (Year)" contentType="years" isSelected="1"/>
                <x16:calculatedTimeColumn columnName="Month (Quarter)" columnId="Month (Quarter)" contentType="quarters" isSelected="0"/>
                <x16:calculatedTimeColumn columnName="Month (Month Index)" columnId="Month (Month Index)" contentType="monthsindex" isSelected="0"/>
                <x16:calculatedTimeColumn columnName="Month (Month)" columnId="Month (Month)" contentType="months" isSelected="0"/>
              </x16:modelTimeGrouping>
            </x16:modelTimeGroupings>
          </ext>
        </x15:extLst>
      </x15:dataModel>
    </ext>
  </extLst>
</workbook>
</file>

<file path=xl/calcChain.xml><?xml version="1.0" encoding="utf-8"?>
<calcChain xmlns="http://schemas.openxmlformats.org/spreadsheetml/2006/main">
  <c r="AA5" i="8" l="1"/>
  <c r="Z5" i="8"/>
  <c r="Y5" i="8"/>
  <c r="AA4" i="8"/>
  <c r="Z4" i="8"/>
  <c r="Y4" i="8"/>
  <c r="Z3" i="8"/>
  <c r="AA3" i="8"/>
  <c r="Y3" i="8"/>
  <c r="B22" i="3" l="1"/>
  <c r="B21" i="3"/>
  <c r="B20" i="3"/>
  <c r="B19" i="3"/>
  <c r="B17" i="3"/>
  <c r="B16" i="3"/>
  <c r="B15" i="3"/>
  <c r="B13" i="3"/>
  <c r="B12" i="3"/>
  <c r="B11" i="3"/>
  <c r="B9" i="3"/>
  <c r="B8" i="3"/>
  <c r="B7" i="3"/>
  <c r="B4" i="3"/>
  <c r="B5" i="3"/>
  <c r="B3" i="3"/>
  <c r="C45" i="7" l="1"/>
  <c r="D45" i="7"/>
  <c r="B45" i="7"/>
  <c r="D39" i="7"/>
  <c r="C39" i="7"/>
  <c r="B41" i="7" l="1"/>
  <c r="B42" i="7" s="1"/>
  <c r="B44" i="7" s="1"/>
  <c r="C43" i="7" s="1"/>
  <c r="B24" i="7" l="1"/>
  <c r="C24" i="7" s="1"/>
  <c r="D24" i="7" s="1"/>
  <c r="B19" i="7"/>
  <c r="B18" i="7"/>
  <c r="B17" i="7"/>
  <c r="B16" i="7"/>
  <c r="C19" i="7" l="1"/>
  <c r="D19" i="7" s="1"/>
  <c r="B39" i="7"/>
  <c r="B20" i="7"/>
  <c r="B3" i="7"/>
  <c r="B10" i="7"/>
  <c r="B9" i="7"/>
  <c r="B8" i="7"/>
  <c r="B5" i="7"/>
  <c r="C5" i="7" s="1"/>
  <c r="B4" i="7"/>
  <c r="C4" i="7" s="1"/>
  <c r="C9" i="7" s="1"/>
  <c r="B6" i="7" l="1"/>
  <c r="B32" i="7" s="1"/>
  <c r="B11" i="7"/>
  <c r="C3" i="7"/>
  <c r="D5" i="7"/>
  <c r="D10" i="7" s="1"/>
  <c r="C10" i="7"/>
  <c r="D4" i="7"/>
  <c r="D9" i="7" s="1"/>
  <c r="M15" i="6"/>
  <c r="M16" i="6"/>
  <c r="M17" i="6"/>
  <c r="O16" i="6"/>
  <c r="O17" i="6"/>
  <c r="O15" i="6"/>
  <c r="N16" i="6"/>
  <c r="N17" i="6"/>
  <c r="N15" i="6"/>
  <c r="L16" i="6"/>
  <c r="L17" i="6"/>
  <c r="L15" i="6"/>
  <c r="K16" i="6"/>
  <c r="K17" i="6"/>
  <c r="K15" i="6"/>
  <c r="I8" i="6"/>
  <c r="I9" i="6"/>
  <c r="I7" i="6"/>
  <c r="H8" i="6"/>
  <c r="H9" i="6"/>
  <c r="H7" i="6"/>
  <c r="G7" i="6"/>
  <c r="G8" i="6"/>
  <c r="G9" i="6"/>
  <c r="F9" i="6"/>
  <c r="F8" i="6"/>
  <c r="B13" i="7" l="1"/>
  <c r="B34" i="7"/>
  <c r="B33" i="7"/>
  <c r="D3" i="7"/>
  <c r="D8" i="7" s="1"/>
  <c r="C8" i="7"/>
  <c r="C11" i="7" s="1"/>
  <c r="C6" i="7"/>
  <c r="C41" i="7" l="1"/>
  <c r="AB3" i="8"/>
  <c r="B35" i="7"/>
  <c r="C34" i="7"/>
  <c r="C33" i="7"/>
  <c r="B14" i="7"/>
  <c r="B21" i="7"/>
  <c r="C18" i="7"/>
  <c r="C32" i="7"/>
  <c r="C17" i="7"/>
  <c r="C16" i="7"/>
  <c r="D6" i="7"/>
  <c r="D11" i="7"/>
  <c r="C13" i="7"/>
  <c r="C14" i="7" s="1"/>
  <c r="AB4" i="8" s="1"/>
  <c r="D41" i="7" l="1"/>
  <c r="AC3" i="8"/>
  <c r="B2" i="8"/>
  <c r="C35" i="7"/>
  <c r="C40" i="7" s="1"/>
  <c r="C20" i="7"/>
  <c r="C21" i="7" s="1"/>
  <c r="C25" i="7" s="1"/>
  <c r="B25" i="7"/>
  <c r="B26" i="7" s="1"/>
  <c r="B27" i="7" s="1"/>
  <c r="B22" i="7"/>
  <c r="D34" i="7"/>
  <c r="D33" i="7"/>
  <c r="D32" i="7"/>
  <c r="D17" i="7"/>
  <c r="D16" i="7"/>
  <c r="D18" i="7"/>
  <c r="D13" i="7"/>
  <c r="D14" i="7" s="1"/>
  <c r="AC4" i="8" l="1"/>
  <c r="B3" i="8"/>
  <c r="D35" i="7"/>
  <c r="D40" i="7" s="1"/>
  <c r="C22" i="7"/>
  <c r="B28" i="7"/>
  <c r="B38" i="7"/>
  <c r="C26" i="7"/>
  <c r="C27" i="7" s="1"/>
  <c r="D20" i="7"/>
  <c r="D21" i="7" s="1"/>
  <c r="B4" i="8" s="1"/>
  <c r="C28" i="7" l="1"/>
  <c r="AB5" i="8" s="1"/>
  <c r="C38" i="7"/>
  <c r="C42" i="7" s="1"/>
  <c r="C44" i="7" s="1"/>
  <c r="D43" i="7" s="1"/>
  <c r="D25" i="7"/>
  <c r="D26" i="7" s="1"/>
  <c r="D27" i="7" s="1"/>
  <c r="B5" i="8" s="1"/>
  <c r="D22" i="7"/>
  <c r="D28" i="7" l="1"/>
  <c r="AC5" i="8" s="1"/>
  <c r="D38" i="7"/>
  <c r="D42" i="7" s="1"/>
  <c r="D44" i="7" s="1"/>
  <c r="B6"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3F4D30-9D08-4036-9D38-5632659DCB0E}" name="Query - tbl_HistFin" description="Connection to the 'tbl_HistFin' query in the workbook." type="100" refreshedVersion="6" minRefreshableVersion="5">
    <extLst>
      <ext xmlns:x15="http://schemas.microsoft.com/office/spreadsheetml/2010/11/main" uri="{DE250136-89BD-433C-8126-D09CA5730AF9}">
        <x15:connection id="0eccedda-8144-4944-8f3e-ef955a53cf19"/>
      </ext>
    </extLst>
  </connection>
  <connection id="2" xr16:uid="{A9BB5517-4781-444C-8DBF-9E4055842565}" name="Query - tbl_HistOps" description="Connection to the 'tbl_HistOps' query in the workbook." type="100" refreshedVersion="6" minRefreshableVersion="5">
    <extLst>
      <ext xmlns:x15="http://schemas.microsoft.com/office/spreadsheetml/2010/11/main" uri="{DE250136-89BD-433C-8126-D09CA5730AF9}">
        <x15:connection id="0f9086a4-3a70-461c-a378-4827a194f864"/>
      </ext>
    </extLst>
  </connection>
  <connection id="3" xr16:uid="{B54D297A-3D0A-42B3-B6EF-ACFB6E95864B}"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<sst xmlns="http://schemas.openxmlformats.org/spreadsheetml/2006/main" count="1151" uniqueCount="152">
  <si>
    <t>Month</t>
  </si>
  <si>
    <t>Segment</t>
  </si>
  <si>
    <t>Region</t>
  </si>
  <si>
    <t>Units</t>
  </si>
  <si>
    <t>Avg_Price</t>
  </si>
  <si>
    <t>Revenue</t>
  </si>
  <si>
    <t>COGS</t>
  </si>
  <si>
    <t>Enterprise</t>
  </si>
  <si>
    <t>North</t>
  </si>
  <si>
    <t>South</t>
  </si>
  <si>
    <t>West</t>
  </si>
  <si>
    <t>East</t>
  </si>
  <si>
    <t>SMB</t>
  </si>
  <si>
    <t>Consumer</t>
  </si>
  <si>
    <t>Gross_Profit</t>
  </si>
  <si>
    <t>Sales_Marketing</t>
  </si>
  <si>
    <t>R&amp;D</t>
  </si>
  <si>
    <t>G&amp;A</t>
  </si>
  <si>
    <t>Depreciation</t>
  </si>
  <si>
    <t>EBIT</t>
  </si>
  <si>
    <t>Interest_Expense</t>
  </si>
  <si>
    <t>EBT</t>
  </si>
  <si>
    <t>Tax</t>
  </si>
  <si>
    <t>Net_Income</t>
  </si>
  <si>
    <t>DSO</t>
  </si>
  <si>
    <t>DIO</t>
  </si>
  <si>
    <t>DPO</t>
  </si>
  <si>
    <t>Capex</t>
  </si>
  <si>
    <t>Enterprise Revenue Growth</t>
  </si>
  <si>
    <t>SMB Revenue Growth</t>
  </si>
  <si>
    <t>Tax Rate</t>
  </si>
  <si>
    <t>Scenario</t>
  </si>
  <si>
    <t>Revenue Growth Adjustment</t>
  </si>
  <si>
    <t>COGS Adjustment</t>
  </si>
  <si>
    <t>Opex Adjustment</t>
  </si>
  <si>
    <t>Base Case</t>
  </si>
  <si>
    <t>Upside Case</t>
  </si>
  <si>
    <t>Downside Case</t>
  </si>
  <si>
    <t>Grand Total</t>
  </si>
  <si>
    <t>2023</t>
  </si>
  <si>
    <t>2024</t>
  </si>
  <si>
    <t>2025</t>
  </si>
  <si>
    <t>Row Labels</t>
  </si>
  <si>
    <t>Total Revenue</t>
  </si>
  <si>
    <t>Total Gross Profit</t>
  </si>
  <si>
    <t>Total EBIT</t>
  </si>
  <si>
    <t>Total Net Income</t>
  </si>
  <si>
    <t>Revenue Growth %</t>
  </si>
  <si>
    <t>-</t>
  </si>
  <si>
    <t>Gross Margin%</t>
  </si>
  <si>
    <t>EBIT Margin %</t>
  </si>
  <si>
    <t>Net Margin %</t>
  </si>
  <si>
    <t>Years/Month</t>
  </si>
  <si>
    <t>Monthly / Yearly Data</t>
  </si>
  <si>
    <t>Total Sales_Marketing</t>
  </si>
  <si>
    <t>Total R&amp;D</t>
  </si>
  <si>
    <t>Total G&amp;A</t>
  </si>
  <si>
    <t>Total Depriciation</t>
  </si>
  <si>
    <t>Total Interest_Expense</t>
  </si>
  <si>
    <t>Expenses Structure</t>
  </si>
  <si>
    <t>S&amp;M %</t>
  </si>
  <si>
    <t>R&amp;D%</t>
  </si>
  <si>
    <t>G&amp;A %</t>
  </si>
  <si>
    <t>Depriciation %</t>
  </si>
  <si>
    <t>Expenses % By Revenue</t>
  </si>
  <si>
    <t>Revenue % By Segment</t>
  </si>
  <si>
    <t>Revenue %</t>
  </si>
  <si>
    <t>Revenue % By Region</t>
  </si>
  <si>
    <t>Average of DSO</t>
  </si>
  <si>
    <t>Average of DIO</t>
  </si>
  <si>
    <t>Average of DPO</t>
  </si>
  <si>
    <t>Working Capital Efficiency</t>
  </si>
  <si>
    <t>Margins &amp; Growth %</t>
  </si>
  <si>
    <t>Interest Expense %</t>
  </si>
  <si>
    <t>1. Revenue Assumptions</t>
  </si>
  <si>
    <t xml:space="preserve">Consumer Revenue Growth </t>
  </si>
  <si>
    <t>Enterprise COGS</t>
  </si>
  <si>
    <t>SMB COGS</t>
  </si>
  <si>
    <t>Consumer COGS</t>
  </si>
  <si>
    <t>3. Operating Expenses (OpEx)</t>
  </si>
  <si>
    <t>Sales &amp; Marketing</t>
  </si>
  <si>
    <t xml:space="preserve">R&amp;D </t>
  </si>
  <si>
    <t xml:space="preserve">4. Working Capital </t>
  </si>
  <si>
    <t>DSO (Receivable)</t>
  </si>
  <si>
    <t>DPO (Payable)</t>
  </si>
  <si>
    <t>DIO (Inventory)</t>
  </si>
  <si>
    <t>5. Other Financials</t>
  </si>
  <si>
    <t xml:space="preserve">Interest Expense (Annual) </t>
  </si>
  <si>
    <t xml:space="preserve">Minimum Cash balance </t>
  </si>
  <si>
    <t>% YoY</t>
  </si>
  <si>
    <t>% of Segment Revenue</t>
  </si>
  <si>
    <t>% of Total Revenue</t>
  </si>
  <si>
    <t>Days</t>
  </si>
  <si>
    <t>%</t>
  </si>
  <si>
    <t>Currency</t>
  </si>
  <si>
    <t>Assumptions Category</t>
  </si>
  <si>
    <t>Values</t>
  </si>
  <si>
    <t>Unit</t>
  </si>
  <si>
    <t>Line Items</t>
  </si>
  <si>
    <t>2025-Actual</t>
  </si>
  <si>
    <t>2026-Forecast</t>
  </si>
  <si>
    <t>2027-Forecast</t>
  </si>
  <si>
    <t xml:space="preserve">Enterprise Revenue </t>
  </si>
  <si>
    <t>SMB Revenue</t>
  </si>
  <si>
    <t>Consumer Revenue</t>
  </si>
  <si>
    <t xml:space="preserve">Total Revenue </t>
  </si>
  <si>
    <t>COGS (Cost of Good Sold)</t>
  </si>
  <si>
    <t>Total COGS</t>
  </si>
  <si>
    <t>Profitability</t>
  </si>
  <si>
    <t xml:space="preserve">Gross Profit </t>
  </si>
  <si>
    <t>Gross Margin</t>
  </si>
  <si>
    <t>Years</t>
  </si>
  <si>
    <t>Revenue And COGS by Segment 2025</t>
  </si>
  <si>
    <t>Operating Expenses (OpEx)</t>
  </si>
  <si>
    <t xml:space="preserve">Sales &amp; Marketing </t>
  </si>
  <si>
    <t>Total OpEx</t>
  </si>
  <si>
    <t>EBIT(Operating Profit)</t>
  </si>
  <si>
    <t xml:space="preserve">EBIT Margin % </t>
  </si>
  <si>
    <t>Interest &amp; Tax</t>
  </si>
  <si>
    <t>Interest Expenses</t>
  </si>
  <si>
    <t>EBT (Earning Before Tax)</t>
  </si>
  <si>
    <t>Total Tax</t>
  </si>
  <si>
    <t xml:space="preserve">Net Income </t>
  </si>
  <si>
    <t>WORKING CAPITAL SCHEDULE</t>
  </si>
  <si>
    <t>Inventory (INV)</t>
  </si>
  <si>
    <t>Net Working Capital</t>
  </si>
  <si>
    <t>Accounts Receivable (AR)</t>
  </si>
  <si>
    <t>Accounts Payable (AP)</t>
  </si>
  <si>
    <t>CASH FLOW STATEMENT</t>
  </si>
  <si>
    <t>Net Income</t>
  </si>
  <si>
    <t>(+) Depreciation</t>
  </si>
  <si>
    <t>(-) Change in net working Capital</t>
  </si>
  <si>
    <t>(-) Capital Expenditure(CapEx)</t>
  </si>
  <si>
    <t>Total CapEx</t>
  </si>
  <si>
    <t>Net Cash Flow</t>
  </si>
  <si>
    <t>Opening Cash balance</t>
  </si>
  <si>
    <t>Closing Cash Balance</t>
  </si>
  <si>
    <t>Min. Cash Requirement</t>
  </si>
  <si>
    <t>Base Case (1)</t>
  </si>
  <si>
    <t>Upside Case (2)</t>
  </si>
  <si>
    <t>Downside Case(3)</t>
  </si>
  <si>
    <t>enterprise cogs</t>
  </si>
  <si>
    <t xml:space="preserve">Gross margin </t>
  </si>
  <si>
    <t>2027 Key Metrics (Base Case)</t>
  </si>
  <si>
    <t>Total Forecast Revenue</t>
  </si>
  <si>
    <t>Gross Margin %</t>
  </si>
  <si>
    <t>Closing Cash</t>
  </si>
  <si>
    <t>Gross margin %</t>
  </si>
  <si>
    <t>2026</t>
  </si>
  <si>
    <t>2027</t>
  </si>
  <si>
    <t>Active Scenario -&gt;</t>
  </si>
  <si>
    <t>2. COGS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</si>
</sst>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 #,##0.00;[Red]&quot;₹&quot;\ \-#,##0.00"/>
    <numFmt numFmtId="44" formatCode="_ &quot;₹&quot;\ * #,##0.00_ ;_ &quot;₹&quot;\ * \-#,##0.00_ ;_ &quot;₹&quot;\ * &quot;-&quot;??_ ;_ @_ "/>
    <numFmt numFmtId="164" formatCode="yyyy\-mm\-dd\ hh:mm:ss"/>
    <numFmt numFmtId="165" formatCode="&quot;₹&quot;\ #,##0"/>
    <numFmt numFmtId="166" formatCode="0.0%"/>
  </numFmts>
  <fonts count="9" x14ac:knownFonts="1">
    <font>
      <sz val="11"/>
      <color theme="1"/>
      <name val="Calibri"/>
      <family val="2"/>
      <scheme val="minor"/>
    </font>
    <font>
      <b/>
      <sz val="11"/>
      <name val="Calibri"/>
      <family val="2"/>
    </font>
    <font>
      <sz val="11"/>
      <color theme="1"/>
      <name val="Calibri"/>
      <family val="2"/>
      <scheme val="minor"/>
    </font>
    <font>
      <b/>
      <i/>
      <sz val="11"/>
      <color theme="1"/>
      <name val="Calibri"/>
      <family val="2"/>
      <scheme val="minor"/>
    </font>
    <font>
      <b/>
      <sz val="11"/>
      <color theme="0"/>
      <name val="Calibri"/>
      <family val="2"/>
      <scheme val="minor"/>
    </font>
    <font>
      <b/>
      <sz val="11"/>
      <color theme="1"/>
      <name val="Calibri"/>
      <family val="2"/>
      <scheme val="minor"/>
    </font>
    <font>
      <i/>
      <sz val="11.5"/>
      <color theme="4"/>
      <name val="Calibri"/>
      <family val="2"/>
      <scheme val="minor"/>
    </font>
    <font>
      <b/>
      <sz val="12"/>
      <color theme="0"/>
      <name val="Calibri"/>
      <family val="2"/>
      <scheme val="minor"/>
    </font>
    <font>
      <i/>
      <sz val="11"/>
      <color theme="1"/>
      <name val="Calibri"/>
      <family val="2"/>
      <scheme val="minor"/>
    </font>
  </fonts>
  <fills count="7">
    <fill>
      <patternFill patternType="none"/>
    </fill>
    <fill>
      <patternFill patternType="gray125"/>
    </fill>
    <fill>
      <patternFill patternType="solid">
        <fgColor theme="4"/>
        <bgColor theme="4"/>
      </patternFill>
    </fill>
    <fill>
      <patternFill patternType="solid">
        <fgColor theme="0" tint="-0.14999847407452621"/>
        <bgColor theme="0" tint="-0.14999847407452621"/>
      </patternFill>
    </fill>
    <fill>
      <patternFill patternType="solid">
        <fgColor rgb="FFFFFF00"/>
        <bgColor indexed="64"/>
      </patternFill>
    </fill>
    <fill>
      <patternFill patternType="solid">
        <fgColor theme="1"/>
        <bgColor theme="1"/>
      </patternFill>
    </fill>
    <fill>
      <patternFill patternType="solid">
        <fgColor theme="3" tint="0.39997558519241921"/>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theme="1"/>
      </bottom>
      <diagonal/>
    </border>
    <border>
      <left/>
      <right/>
      <top style="medium">
        <color theme="1"/>
      </top>
      <bottom/>
      <diagonal/>
    </border>
    <border>
      <left style="thin">
        <color theme="1"/>
      </left>
      <right style="thin">
        <color theme="1"/>
      </right>
      <top style="thin">
        <color theme="1"/>
      </top>
      <bottom style="medium">
        <color theme="1"/>
      </bottom>
      <diagonal/>
    </border>
    <border>
      <left style="thin">
        <color theme="1"/>
      </left>
      <right/>
      <top style="medium">
        <color theme="1"/>
      </top>
      <bottom/>
      <diagonal/>
    </border>
    <border>
      <left style="thin">
        <color theme="1"/>
      </left>
      <right style="thin">
        <color theme="1"/>
      </right>
      <top style="medium">
        <color theme="1"/>
      </top>
      <bottom/>
      <diagonal/>
    </border>
    <border>
      <left style="thin">
        <color theme="1"/>
      </left>
      <right/>
      <top style="thin">
        <color theme="1"/>
      </top>
      <bottom/>
      <diagonal/>
    </border>
    <border>
      <left style="thin">
        <color theme="1"/>
      </left>
      <right style="thin">
        <color theme="1"/>
      </right>
      <top style="thin">
        <color theme="1"/>
      </top>
      <bottom/>
      <diagonal/>
    </border>
    <border>
      <left style="thin">
        <color theme="1"/>
      </left>
      <right/>
      <top style="thin">
        <color theme="1"/>
      </top>
      <bottom style="medium">
        <color theme="1"/>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83">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center"/>
    </xf>
    <xf numFmtId="10" fontId="0" fillId="0" borderId="0" xfId="0" applyNumberFormat="1"/>
    <xf numFmtId="166" fontId="0" fillId="0" borderId="0" xfId="1" applyNumberFormat="1" applyFont="1" applyAlignment="1">
      <alignment horizontal="center"/>
    </xf>
    <xf numFmtId="166" fontId="0" fillId="0" borderId="0" xfId="1" applyNumberFormat="1" applyFont="1"/>
    <xf numFmtId="166" fontId="0" fillId="0" borderId="0" xfId="0" applyNumberFormat="1" applyAlignment="1">
      <alignment horizontal="center"/>
    </xf>
    <xf numFmtId="1" fontId="0" fillId="0" borderId="0" xfId="0" applyNumberFormat="1"/>
    <xf numFmtId="3" fontId="0" fillId="0" borderId="0" xfId="0" applyNumberFormat="1"/>
    <xf numFmtId="0" fontId="5" fillId="0" borderId="0" xfId="0" applyFont="1"/>
    <xf numFmtId="0" fontId="0" fillId="0" borderId="0" xfId="0" applyFont="1"/>
    <xf numFmtId="0" fontId="0" fillId="3" borderId="0" xfId="0" applyFont="1" applyFill="1"/>
    <xf numFmtId="166" fontId="6" fillId="0" borderId="0" xfId="1" applyNumberFormat="1" applyFont="1"/>
    <xf numFmtId="165" fontId="6" fillId="0" borderId="0" xfId="0" applyNumberFormat="1" applyFont="1"/>
    <xf numFmtId="0" fontId="0" fillId="0" borderId="0" xfId="0" applyFont="1" applyAlignment="1">
      <alignment horizontal="center"/>
    </xf>
    <xf numFmtId="0" fontId="0" fillId="3" borderId="0" xfId="0" applyFont="1" applyFill="1" applyAlignment="1">
      <alignment horizontal="center"/>
    </xf>
    <xf numFmtId="0" fontId="5" fillId="3" borderId="0" xfId="0" applyFont="1" applyFill="1" applyAlignment="1"/>
    <xf numFmtId="0" fontId="5" fillId="3" borderId="0" xfId="0" applyFont="1" applyFill="1"/>
    <xf numFmtId="166" fontId="6" fillId="3" borderId="0" xfId="1" applyNumberFormat="1" applyFont="1" applyFill="1"/>
    <xf numFmtId="0" fontId="0" fillId="3" borderId="3" xfId="0" applyFont="1" applyFill="1" applyBorder="1" applyAlignment="1">
      <alignment horizontal="center"/>
    </xf>
    <xf numFmtId="165" fontId="6" fillId="3" borderId="3" xfId="0" applyNumberFormat="1" applyFont="1" applyFill="1" applyBorder="1"/>
    <xf numFmtId="0" fontId="0" fillId="3" borderId="3" xfId="0" applyFont="1" applyFill="1" applyBorder="1"/>
    <xf numFmtId="0" fontId="8" fillId="0" borderId="0" xfId="0" applyFont="1" applyAlignment="1">
      <alignment horizontal="right"/>
    </xf>
    <xf numFmtId="165" fontId="0" fillId="0" borderId="0" xfId="2" applyNumberFormat="1" applyFont="1"/>
    <xf numFmtId="165" fontId="3" fillId="0" borderId="0" xfId="0" applyNumberFormat="1" applyFont="1"/>
    <xf numFmtId="165" fontId="0" fillId="3" borderId="0" xfId="2" applyNumberFormat="1" applyFont="1" applyFill="1"/>
    <xf numFmtId="0" fontId="8" fillId="3" borderId="0" xfId="0" applyFont="1" applyFill="1" applyAlignment="1">
      <alignment horizontal="right"/>
    </xf>
    <xf numFmtId="165" fontId="3" fillId="3" borderId="0" xfId="0" applyNumberFormat="1" applyFont="1" applyFill="1"/>
    <xf numFmtId="165" fontId="0" fillId="3" borderId="0" xfId="0" applyNumberFormat="1" applyFont="1" applyFill="1"/>
    <xf numFmtId="165" fontId="0" fillId="0" borderId="0" xfId="0" applyNumberFormat="1" applyFont="1"/>
    <xf numFmtId="166" fontId="0" fillId="3" borderId="3" xfId="1" applyNumberFormat="1" applyFont="1" applyFill="1" applyBorder="1"/>
    <xf numFmtId="0" fontId="4" fillId="2" borderId="4" xfId="0" applyFont="1" applyFill="1" applyBorder="1"/>
    <xf numFmtId="0" fontId="5" fillId="3" borderId="4" xfId="0" applyFont="1" applyFill="1" applyBorder="1" applyAlignment="1"/>
    <xf numFmtId="0" fontId="0" fillId="3" borderId="4" xfId="0" applyFont="1" applyFill="1" applyBorder="1"/>
    <xf numFmtId="0" fontId="7" fillId="2" borderId="4" xfId="0" applyFont="1" applyFill="1" applyBorder="1"/>
    <xf numFmtId="0" fontId="5" fillId="3" borderId="4" xfId="0" applyFont="1" applyFill="1" applyBorder="1" applyAlignment="1">
      <alignment horizontal="left"/>
    </xf>
    <xf numFmtId="165" fontId="5" fillId="0" borderId="0" xfId="2" applyNumberFormat="1" applyFont="1"/>
    <xf numFmtId="166" fontId="5" fillId="0" borderId="0" xfId="1" applyNumberFormat="1" applyFont="1"/>
    <xf numFmtId="165" fontId="5" fillId="3" borderId="0" xfId="0" applyNumberFormat="1" applyFont="1" applyFill="1"/>
    <xf numFmtId="0" fontId="5" fillId="3" borderId="0" xfId="0" applyFont="1" applyFill="1" applyAlignment="1">
      <alignment horizontal="center"/>
    </xf>
    <xf numFmtId="0" fontId="5" fillId="3" borderId="3" xfId="0" applyFont="1" applyFill="1" applyBorder="1" applyAlignment="1">
      <alignment horizontal="right"/>
    </xf>
    <xf numFmtId="165" fontId="5" fillId="3" borderId="3" xfId="0" applyNumberFormat="1" applyFont="1" applyFill="1" applyBorder="1"/>
    <xf numFmtId="0" fontId="5" fillId="3" borderId="4" xfId="0" applyFont="1" applyFill="1" applyBorder="1"/>
    <xf numFmtId="165" fontId="5" fillId="0" borderId="0" xfId="0" applyNumberFormat="1" applyFont="1"/>
    <xf numFmtId="0" fontId="7" fillId="2" borderId="0" xfId="0" applyFont="1" applyFill="1" applyBorder="1"/>
    <xf numFmtId="0" fontId="0" fillId="4" borderId="0" xfId="0" applyFill="1"/>
    <xf numFmtId="0" fontId="0" fillId="0" borderId="0" xfId="1" applyNumberFormat="1" applyFont="1"/>
    <xf numFmtId="0" fontId="6" fillId="0" borderId="0" xfId="1" applyNumberFormat="1" applyFont="1"/>
    <xf numFmtId="166" fontId="0" fillId="3" borderId="0" xfId="1" applyNumberFormat="1" applyFont="1" applyFill="1"/>
    <xf numFmtId="10" fontId="0" fillId="0" borderId="0" xfId="0" applyNumberFormat="1" applyFont="1"/>
    <xf numFmtId="10" fontId="0" fillId="3" borderId="0" xfId="0" applyNumberFormat="1" applyFont="1" applyFill="1"/>
    <xf numFmtId="0" fontId="0" fillId="0" borderId="0" xfId="0" applyNumberFormat="1" applyFont="1"/>
    <xf numFmtId="0" fontId="6" fillId="3" borderId="0" xfId="1" applyNumberFormat="1" applyFont="1" applyFill="1"/>
    <xf numFmtId="0" fontId="0" fillId="3" borderId="0" xfId="1" applyNumberFormat="1" applyFont="1" applyFill="1"/>
    <xf numFmtId="9" fontId="0" fillId="3" borderId="0" xfId="0" applyNumberFormat="1" applyFont="1" applyFill="1"/>
    <xf numFmtId="165" fontId="0" fillId="3" borderId="3" xfId="0" applyNumberFormat="1" applyFont="1" applyFill="1" applyBorder="1"/>
    <xf numFmtId="0" fontId="0" fillId="0" borderId="0" xfId="0" applyAlignment="1">
      <alignment vertical="center" wrapText="1"/>
    </xf>
    <xf numFmtId="10" fontId="0" fillId="0" borderId="0" xfId="0" applyNumberFormat="1" applyAlignment="1">
      <alignment vertical="center" wrapText="1"/>
    </xf>
    <xf numFmtId="8" fontId="0" fillId="0" borderId="0" xfId="0" applyNumberFormat="1" applyAlignment="1">
      <alignment vertical="center" wrapText="1"/>
    </xf>
    <xf numFmtId="9" fontId="0" fillId="0" borderId="0" xfId="0" applyNumberFormat="1"/>
    <xf numFmtId="0" fontId="0" fillId="0" borderId="0" xfId="0" applyAlignment="1"/>
    <xf numFmtId="165" fontId="0" fillId="3" borderId="5" xfId="0" applyNumberFormat="1" applyFont="1" applyFill="1" applyBorder="1"/>
    <xf numFmtId="0" fontId="4" fillId="5" borderId="6" xfId="0" applyFont="1" applyFill="1" applyBorder="1"/>
    <xf numFmtId="0" fontId="0" fillId="3" borderId="6" xfId="0" applyFont="1" applyFill="1" applyBorder="1"/>
    <xf numFmtId="165" fontId="0" fillId="3" borderId="7" xfId="0" applyNumberFormat="1" applyFont="1" applyFill="1" applyBorder="1"/>
    <xf numFmtId="0" fontId="0" fillId="0" borderId="8" xfId="0" applyFont="1" applyBorder="1"/>
    <xf numFmtId="166" fontId="0" fillId="0" borderId="9" xfId="1" applyNumberFormat="1" applyFont="1" applyBorder="1"/>
    <xf numFmtId="0" fontId="0" fillId="3" borderId="8" xfId="0" applyFont="1" applyFill="1" applyBorder="1"/>
    <xf numFmtId="165" fontId="0" fillId="3" borderId="9" xfId="0" applyNumberFormat="1" applyFont="1" applyFill="1" applyBorder="1"/>
    <xf numFmtId="165" fontId="0" fillId="0" borderId="9" xfId="0" applyNumberFormat="1" applyFont="1" applyBorder="1"/>
    <xf numFmtId="0" fontId="0" fillId="3" borderId="10" xfId="0" applyFont="1" applyFill="1" applyBorder="1"/>
    <xf numFmtId="166" fontId="0" fillId="3" borderId="5" xfId="1" applyNumberFormat="1" applyFont="1" applyFill="1" applyBorder="1"/>
    <xf numFmtId="0" fontId="4" fillId="5" borderId="7" xfId="0" applyFont="1" applyFill="1" applyBorder="1"/>
    <xf numFmtId="165" fontId="0" fillId="3" borderId="6" xfId="0" applyNumberFormat="1" applyFont="1" applyFill="1" applyBorder="1"/>
    <xf numFmtId="166" fontId="0" fillId="0" borderId="8" xfId="1" applyNumberFormat="1" applyFont="1" applyBorder="1"/>
    <xf numFmtId="166" fontId="0" fillId="3" borderId="10" xfId="1" applyNumberFormat="1" applyFont="1" applyFill="1" applyBorder="1"/>
    <xf numFmtId="0" fontId="4" fillId="6" borderId="0" xfId="0" applyFont="1" applyFill="1" applyAlignment="1">
      <alignment horizontal="center"/>
    </xf>
    <xf numFmtId="0" fontId="3" fillId="0" borderId="0" xfId="0" applyFont="1" applyAlignment="1">
      <alignment horizontal="center"/>
    </xf>
  </cellXfs>
  <cellStyles count="3">
    <cellStyle name="Currency" xfId="2" builtinId="4"/>
    <cellStyle name="Normal" xfId="0" builtinId="0"/>
    <cellStyle name="Percent" xfId="1" builtinId="5"/>
  </cellStyles>
  <dxfs count="19">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6" formatCode="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0.0%"/>
    </dxf>
    <dxf>
      <font>
        <b val="0"/>
        <i val="0"/>
        <strike val="0"/>
        <condense val="0"/>
        <extend val="0"/>
        <outline val="0"/>
        <shadow val="0"/>
        <u val="none"/>
        <vertAlign val="baseline"/>
        <sz val="11"/>
        <color theme="1"/>
        <name val="Calibri"/>
        <family val="2"/>
        <scheme val="minor"/>
      </font>
      <numFmt numFmtId="166" formatCode="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Dashboard!$X$3</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Dashboard!$Y$2:$AC$2</c:f>
              <c:strCache>
                <c:ptCount val="5"/>
                <c:pt idx="0">
                  <c:v>2023</c:v>
                </c:pt>
                <c:pt idx="1">
                  <c:v>2024</c:v>
                </c:pt>
                <c:pt idx="2">
                  <c:v>2025</c:v>
                </c:pt>
                <c:pt idx="3">
                  <c:v>2026</c:v>
                </c:pt>
                <c:pt idx="4">
                  <c:v>2027</c:v>
                </c:pt>
              </c:strCache>
            </c:strRef>
          </c:cat>
          <c:val>
            <c:numRef>
              <c:f>Dashboard!$Y$3:$AC$3</c:f>
              <c:numCache>
                <c:formatCode>"₹"\ #,##0</c:formatCode>
                <c:ptCount val="5"/>
                <c:pt idx="0">
                  <c:v>435817779.52999997</c:v>
                </c:pt>
                <c:pt idx="1">
                  <c:v>462001028.52999997</c:v>
                </c:pt>
                <c:pt idx="2">
                  <c:v>481836539.08999997</c:v>
                </c:pt>
                <c:pt idx="3">
                  <c:v>522804133.20720005</c:v>
                </c:pt>
                <c:pt idx="4">
                  <c:v>567376824.40584016</c:v>
                </c:pt>
              </c:numCache>
            </c:numRef>
          </c:val>
          <c:extLst>
            <c:ext xmlns:c16="http://schemas.microsoft.com/office/drawing/2014/chart" uri="{C3380CC4-5D6E-409C-BE32-E72D297353CC}">
              <c16:uniqueId val="{00000000-A151-454D-BA81-12D87CEC22DF}"/>
            </c:ext>
          </c:extLst>
        </c:ser>
        <c:dLbls>
          <c:dLblPos val="outEnd"/>
          <c:showLegendKey val="0"/>
          <c:showVal val="1"/>
          <c:showCatName val="0"/>
          <c:showSerName val="0"/>
          <c:showPercent val="0"/>
          <c:showBubbleSize val="0"/>
        </c:dLbls>
        <c:gapWidth val="219"/>
        <c:overlap val="-27"/>
        <c:axId val="1757581615"/>
        <c:axId val="933966031"/>
      </c:barChart>
      <c:catAx>
        <c:axId val="1757581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966031"/>
        <c:crosses val="autoZero"/>
        <c:auto val="1"/>
        <c:lblAlgn val="ctr"/>
        <c:lblOffset val="100"/>
        <c:noMultiLvlLbl val="0"/>
      </c:catAx>
      <c:valAx>
        <c:axId val="933966031"/>
        <c:scaling>
          <c:orientation val="minMax"/>
        </c:scaling>
        <c:delete val="1"/>
        <c:axPos val="l"/>
        <c:numFmt formatCode="&quot;₹&quot;\ #,##0" sourceLinked="1"/>
        <c:majorTickMark val="none"/>
        <c:minorTickMark val="none"/>
        <c:tickLblPos val="nextTo"/>
        <c:crossAx val="17575816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Profitability</a:t>
            </a:r>
            <a:r>
              <a:rPr lang="en-IN" baseline="0"/>
              <a: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Dashboard!$X$4</c:f>
              <c:strCache>
                <c:ptCount val="1"/>
                <c:pt idx="0">
                  <c:v>Gross margin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Dashboard!$Y$2:$AC$2</c:f>
              <c:strCache>
                <c:ptCount val="5"/>
                <c:pt idx="0">
                  <c:v>2023</c:v>
                </c:pt>
                <c:pt idx="1">
                  <c:v>2024</c:v>
                </c:pt>
                <c:pt idx="2">
                  <c:v>2025</c:v>
                </c:pt>
                <c:pt idx="3">
                  <c:v>2026</c:v>
                </c:pt>
                <c:pt idx="4">
                  <c:v>2027</c:v>
                </c:pt>
              </c:strCache>
            </c:strRef>
          </c:cat>
          <c:val>
            <c:numRef>
              <c:f>Dashboard!$Y$4:$AC$4</c:f>
              <c:numCache>
                <c:formatCode>0.0%</c:formatCode>
                <c:ptCount val="5"/>
                <c:pt idx="0">
                  <c:v>0.38562214534074873</c:v>
                </c:pt>
                <c:pt idx="1">
                  <c:v>0.38917218449076441</c:v>
                </c:pt>
                <c:pt idx="2">
                  <c:v>0.38824151411036567</c:v>
                </c:pt>
                <c:pt idx="3">
                  <c:v>0.3977858397717885</c:v>
                </c:pt>
                <c:pt idx="4">
                  <c:v>0.39782810728127554</c:v>
                </c:pt>
              </c:numCache>
            </c:numRef>
          </c:val>
          <c:smooth val="0"/>
          <c:extLst>
            <c:ext xmlns:c16="http://schemas.microsoft.com/office/drawing/2014/chart" uri="{C3380CC4-5D6E-409C-BE32-E72D297353CC}">
              <c16:uniqueId val="{00000000-70D9-4A94-9918-0645E763BB18}"/>
            </c:ext>
          </c:extLst>
        </c:ser>
        <c:ser>
          <c:idx val="1"/>
          <c:order val="1"/>
          <c:tx>
            <c:strRef>
              <c:f>Dashboard!$X$5</c:f>
              <c:strCache>
                <c:ptCount val="1"/>
                <c:pt idx="0">
                  <c:v>Net Margin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Dashboard!$Y$2:$AC$2</c:f>
              <c:strCache>
                <c:ptCount val="5"/>
                <c:pt idx="0">
                  <c:v>2023</c:v>
                </c:pt>
                <c:pt idx="1">
                  <c:v>2024</c:v>
                </c:pt>
                <c:pt idx="2">
                  <c:v>2025</c:v>
                </c:pt>
                <c:pt idx="3">
                  <c:v>2026</c:v>
                </c:pt>
                <c:pt idx="4">
                  <c:v>2027</c:v>
                </c:pt>
              </c:strCache>
            </c:strRef>
          </c:cat>
          <c:val>
            <c:numRef>
              <c:f>Dashboard!$Y$5:$AC$5</c:f>
              <c:numCache>
                <c:formatCode>0.0%</c:formatCode>
                <c:ptCount val="5"/>
                <c:pt idx="0">
                  <c:v>9.6302986487022998E-2</c:v>
                </c:pt>
                <c:pt idx="1">
                  <c:v>9.8384830994354494E-2</c:v>
                </c:pt>
                <c:pt idx="2">
                  <c:v>9.913121704210355E-2</c:v>
                </c:pt>
                <c:pt idx="3">
                  <c:v>0.10883191204955942</c:v>
                </c:pt>
                <c:pt idx="4">
                  <c:v>0.11049430354107061</c:v>
                </c:pt>
              </c:numCache>
            </c:numRef>
          </c:val>
          <c:smooth val="0"/>
          <c:extLst>
            <c:ext xmlns:c16="http://schemas.microsoft.com/office/drawing/2014/chart" uri="{C3380CC4-5D6E-409C-BE32-E72D297353CC}">
              <c16:uniqueId val="{00000001-70D9-4A94-9918-0645E763BB18}"/>
            </c:ext>
          </c:extLst>
        </c:ser>
        <c:dLbls>
          <c:dLblPos val="t"/>
          <c:showLegendKey val="0"/>
          <c:showVal val="1"/>
          <c:showCatName val="0"/>
          <c:showSerName val="0"/>
          <c:showPercent val="0"/>
          <c:showBubbleSize val="0"/>
        </c:dLbls>
        <c:marker val="1"/>
        <c:smooth val="0"/>
        <c:axId val="938756047"/>
        <c:axId val="1079735279"/>
      </c:lineChart>
      <c:catAx>
        <c:axId val="93875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735279"/>
        <c:crosses val="autoZero"/>
        <c:auto val="1"/>
        <c:lblAlgn val="ctr"/>
        <c:lblOffset val="100"/>
        <c:noMultiLvlLbl val="0"/>
      </c:catAx>
      <c:valAx>
        <c:axId val="1079735279"/>
        <c:scaling>
          <c:orientation val="minMax"/>
        </c:scaling>
        <c:delete val="1"/>
        <c:axPos val="l"/>
        <c:numFmt formatCode="0.0%" sourceLinked="1"/>
        <c:majorTickMark val="none"/>
        <c:minorTickMark val="none"/>
        <c:tickLblPos val="nextTo"/>
        <c:crossAx val="938756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19049</xdr:colOff>
      <xdr:row>0</xdr:row>
      <xdr:rowOff>38101</xdr:rowOff>
    </xdr:from>
    <xdr:to>
      <xdr:col>20</xdr:col>
      <xdr:colOff>238124</xdr:colOff>
      <xdr:row>29</xdr:row>
      <xdr:rowOff>104775</xdr:rowOff>
    </xdr:to>
    <xdr:sp macro="" textlink="">
      <xdr:nvSpPr>
        <xdr:cNvPr id="2" name="TextBox 1">
          <a:extLst>
            <a:ext uri="{FF2B5EF4-FFF2-40B4-BE49-F238E27FC236}">
              <a16:creationId xmlns:a16="http://schemas.microsoft.com/office/drawing/2014/main" id="{1DF63B0D-2C48-4DCB-8934-DC3CD54ECDD9}"/>
            </a:ext>
          </a:extLst>
        </xdr:cNvPr>
        <xdr:cNvSpPr txBox="1"/>
      </xdr:nvSpPr>
      <xdr:spPr>
        <a:xfrm>
          <a:off x="19049" y="38101"/>
          <a:ext cx="12411075" cy="55911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EXECUTIVE</a:t>
          </a:r>
          <a:r>
            <a:rPr lang="en-IN" sz="1600" b="1" baseline="0"/>
            <a:t> SUMMARY: FINANCIAL OUTLOOK (2025-27)</a:t>
          </a:r>
        </a:p>
        <a:p>
          <a:endParaRPr lang="en-IN" sz="1100" b="1" baseline="0"/>
        </a:p>
        <a:p>
          <a:r>
            <a:rPr lang="en-IN" sz="1200" b="1" baseline="0"/>
            <a:t>1. Growth Terajectory (Slowing but Stable):</a:t>
          </a:r>
        </a:p>
        <a:p>
          <a:r>
            <a:rPr lang="en-IN" sz="1100" baseline="0"/>
            <a:t>The Comapny is experiencing continues top-lined expansion (projected ~</a:t>
          </a:r>
          <a:r>
            <a:rPr lang="en-IN"/>
            <a:t>₹56.7 Cr by 2027), but the overall growth</a:t>
          </a:r>
          <a:r>
            <a:rPr lang="en-IN" baseline="0"/>
            <a:t> rate is decelerating. This is primarily due to saturation in the core Enterprise segment (growing at only ~2%). Future growth is highly dependent on scaling the smaller, faster-growing SMB(7-8%) abd Consumer Segments.</a:t>
          </a:r>
        </a:p>
        <a:p>
          <a:endParaRPr lang="en-IN" sz="1100" baseline="0"/>
        </a:p>
        <a:p>
          <a:r>
            <a:rPr lang="en-IN" sz="1200" b="1" i="0" baseline="0"/>
            <a:t>2. Profitability (Improving Margins):</a:t>
          </a:r>
        </a:p>
        <a:p>
          <a:r>
            <a:rPr lang="en-IN" sz="1100" baseline="0"/>
            <a:t>Profitability is on an upward trend. Gross Margins are forecasted to expanf from 38.8% to 39.8%, and Net Margin from 9.9% to a healthy 11.0% by 2027. This indicates strong pricing power and better absorption opf fixed costs as the company scales.</a:t>
          </a:r>
        </a:p>
        <a:p>
          <a:endParaRPr lang="en-IN" sz="1100" baseline="0"/>
        </a:p>
        <a:p>
          <a:r>
            <a:rPr lang="en-IN" sz="1200" b="1" i="0" baseline="0"/>
            <a:t>3. Cost Drivers (Strategic S&amp;M Spend):</a:t>
          </a:r>
        </a:p>
        <a:p>
          <a:r>
            <a:rPr lang="en-IN" sz="1100" baseline="0"/>
            <a:t>Cost Control is largely effective. While G&amp;A and R&amp;D are stable as a percentage of revenue , Sales &amp; Marketing (S&amp;M) required sustained , higher investment ( 10.5% - 10.8%) to drive the SMB and Consumer Segment Growth. COGS remains the largest cost burden (driven heavily by the Consumer segment at 63%).</a:t>
          </a:r>
        </a:p>
        <a:p>
          <a:endParaRPr lang="en-IN" sz="1100" baseline="0"/>
        </a:p>
        <a:p>
          <a:r>
            <a:rPr lang="en-IN" sz="1200" b="1" i="0"/>
            <a:t>4. Cash Generation (Highly Liquid):</a:t>
          </a:r>
          <a:r>
            <a:rPr lang="en-IN" sz="1200" i="0"/>
            <a:t> </a:t>
          </a:r>
        </a:p>
        <a:p>
          <a:r>
            <a:rPr lang="en-IN"/>
            <a:t>The business is a strong cash-generating machine. Operating cash flows comfortably cover recurring Capital Expenditures (Capex). Even without external financing, the company builds a robust cash reserve, projected to close at ₹11.49 Crore by 2027 (well above the ₹1.5 Cr minimum requirement).</a:t>
          </a:r>
        </a:p>
        <a:p>
          <a:endParaRPr lang="en-IN"/>
        </a:p>
        <a:p>
          <a:r>
            <a:rPr lang="en-IN" sz="1200" b="1" i="0"/>
            <a:t>5. Biggest Risk (Concentration Risk):</a:t>
          </a:r>
          <a:r>
            <a:rPr lang="en-IN" sz="1200" i="0"/>
            <a:t> </a:t>
          </a:r>
        </a:p>
        <a:p>
          <a:r>
            <a:rPr lang="en-IN"/>
            <a:t>The most critical vulnerability is the heavy reliance on the Enterprise segment, which currently drives nearly 50% of total revenue. Any macroeconomic shock or loss of key enterprise clients will disproportionately damage the top line, as the other segments are not yet large enough to cushion the blow.</a:t>
          </a:r>
        </a:p>
        <a:p>
          <a:endParaRPr lang="en-IN"/>
        </a:p>
        <a:p>
          <a:r>
            <a:rPr lang="en-IN" sz="1200" b="1" i="0"/>
            <a:t>6. Scenario Impact (Resilient to Downside):</a:t>
          </a:r>
          <a:r>
            <a:rPr lang="en-IN" sz="1200" i="0"/>
            <a:t> </a:t>
          </a:r>
        </a:p>
        <a:p>
          <a:r>
            <a:rPr lang="en-IN"/>
            <a:t>In a severe downside scenario (growth dropping to 1-3% and COGS spiking to 65-68%), the business takes a hit—Net Margins compress to 7.8%. However, the company remains fundamentally solvent. It still generates positive net cash flow and closes 2027 with ₹8.6 Crore in the bank, proving the business model is highly resilient to economic stress.</a:t>
          </a:r>
        </a:p>
        <a:p>
          <a:endParaRPr lang="en-IN"/>
        </a:p>
        <a:p>
          <a:r>
            <a:rPr lang="en-IN" sz="1200" b="1" i="0"/>
            <a:t>7. Strategic Recommendation:</a:t>
          </a:r>
          <a:r>
            <a:rPr lang="en-IN" sz="1200" i="0"/>
            <a:t> </a:t>
          </a:r>
        </a:p>
        <a:p>
          <a:r>
            <a:rPr lang="en-IN"/>
            <a:t>Management must execute a two-pronged strategy:</a:t>
          </a:r>
        </a:p>
        <a:p>
          <a:r>
            <a:rPr lang="en-IN" b="1"/>
            <a:t>  Revenue Diversification:</a:t>
          </a:r>
          <a:r>
            <a:rPr lang="en-IN"/>
            <a:t> Aggressively divert marketing capital toward the SMB and Consumer segments to reduce reliance on the sluggish Enterprise division.</a:t>
          </a:r>
        </a:p>
        <a:p>
          <a:r>
            <a:rPr lang="en-IN" b="1"/>
            <a:t>  Working Capital Optimization:</a:t>
          </a:r>
          <a:r>
            <a:rPr lang="en-IN"/>
            <a:t> The cash cycle is stagnant. Focus on reducing Days Sales Outstanding (DSO) from 42 days to under 35 days by enforcing stricter collection policies. This will unlock trapped capital much faster.</a:t>
          </a:r>
        </a:p>
        <a:p>
          <a:endParaRPr lang="en-IN"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xdr:colOff>
      <xdr:row>0</xdr:row>
      <xdr:rowOff>0</xdr:rowOff>
    </xdr:from>
    <xdr:to>
      <xdr:col>8</xdr:col>
      <xdr:colOff>923925</xdr:colOff>
      <xdr:row>14</xdr:row>
      <xdr:rowOff>38100</xdr:rowOff>
    </xdr:to>
    <xdr:graphicFrame macro="">
      <xdr:nvGraphicFramePr>
        <xdr:cNvPr id="4" name="Chart 3">
          <a:extLst>
            <a:ext uri="{FF2B5EF4-FFF2-40B4-BE49-F238E27FC236}">
              <a16:creationId xmlns:a16="http://schemas.microsoft.com/office/drawing/2014/main" id="{9BC1D69F-ADE3-4501-AA7C-681D55692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923925</xdr:colOff>
      <xdr:row>0</xdr:row>
      <xdr:rowOff>14287</xdr:rowOff>
    </xdr:from>
    <xdr:to>
      <xdr:col>14</xdr:col>
      <xdr:colOff>47625</xdr:colOff>
      <xdr:row>14</xdr:row>
      <xdr:rowOff>52387</xdr:rowOff>
    </xdr:to>
    <xdr:graphicFrame macro="">
      <xdr:nvGraphicFramePr>
        <xdr:cNvPr id="5" name="Chart 4">
          <a:extLst>
            <a:ext uri="{FF2B5EF4-FFF2-40B4-BE49-F238E27FC236}">
              <a16:creationId xmlns:a16="http://schemas.microsoft.com/office/drawing/2014/main" id="{D9B0F818-F7C6-4494-8198-51FB570CA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5</xdr:col>
      <xdr:colOff>851648</xdr:colOff>
      <xdr:row>28</xdr:row>
      <xdr:rowOff>145676</xdr:rowOff>
    </xdr:from>
    <xdr:ext cx="9659471" cy="2588560"/>
    <xdr:sp macro="" textlink="">
      <xdr:nvSpPr>
        <xdr:cNvPr id="2" name="TextBox 1">
          <a:extLst>
            <a:ext uri="{FF2B5EF4-FFF2-40B4-BE49-F238E27FC236}">
              <a16:creationId xmlns:a16="http://schemas.microsoft.com/office/drawing/2014/main" id="{CED39E5C-350A-4539-8814-1444A618A37D}"/>
            </a:ext>
          </a:extLst>
        </xdr:cNvPr>
        <xdr:cNvSpPr txBox="1"/>
      </xdr:nvSpPr>
      <xdr:spPr>
        <a:xfrm>
          <a:off x="6073589" y="5479676"/>
          <a:ext cx="9659471" cy="258856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pPr algn="ctr"/>
          <a:r>
            <a:rPr lang="en-IN" sz="1800" b="1"/>
            <a:t>Historical</a:t>
          </a:r>
          <a:r>
            <a:rPr lang="en-IN" sz="1800" b="1" baseline="0"/>
            <a:t> Trends &amp; Patterns (Key Takeaways for ForeCasting)</a:t>
          </a:r>
        </a:p>
        <a:p>
          <a:r>
            <a:rPr lang="en-IN" sz="1300" b="1" baseline="0"/>
            <a:t>1.  Slowing Revenue Growth : </a:t>
          </a:r>
          <a:r>
            <a:rPr lang="en-IN" sz="1100" baseline="0"/>
            <a:t>The Company's Revenue  is still increasing , But the </a:t>
          </a:r>
          <a:r>
            <a:rPr lang="en-IN" sz="1100" baseline="0">
              <a:latin typeface="Segoe UI Semibold" panose="020B0702040204020203" pitchFamily="34" charset="0"/>
              <a:cs typeface="Segoe UI Semibold" panose="020B0702040204020203" pitchFamily="34" charset="0"/>
            </a:rPr>
            <a:t>growth rate is slowing down</a:t>
          </a:r>
          <a:r>
            <a:rPr lang="en-IN" sz="1100" baseline="0"/>
            <a:t>. Revenue Growth declined from </a:t>
          </a:r>
          <a:r>
            <a:rPr lang="en-IN" sz="1100" baseline="0">
              <a:latin typeface="Segoe UI Semibold" panose="020B0702040204020203" pitchFamily="34" charset="0"/>
              <a:cs typeface="Segoe UI Semibold" panose="020B0702040204020203" pitchFamily="34" charset="0"/>
            </a:rPr>
            <a:t>6.0% in 2024 	to 4.3% in 2025.</a:t>
          </a:r>
        </a:p>
        <a:p>
          <a:r>
            <a:rPr lang="en-IN" sz="1300" b="1" baseline="0"/>
            <a:t>2. Stable Profitability Margins : </a:t>
          </a:r>
          <a:r>
            <a:rPr lang="en-IN" sz="1100" baseline="0"/>
            <a:t>Even though growth is slowed, the company has been able to </a:t>
          </a:r>
          <a:r>
            <a:rPr lang="en-IN" sz="1100" baseline="0">
              <a:latin typeface="Segoe UI Semibold" panose="020B0702040204020203" pitchFamily="34" charset="0"/>
              <a:cs typeface="Segoe UI Semibold" panose="020B0702040204020203" pitchFamily="34" charset="0"/>
            </a:rPr>
            <a:t>maintain its profit margins</a:t>
          </a:r>
          <a:r>
            <a:rPr lang="en-IN" sz="1100" baseline="0"/>
            <a:t>. Gross Margin has remained stable 	between </a:t>
          </a:r>
          <a:r>
            <a:rPr lang="en-IN" sz="1100" baseline="0">
              <a:latin typeface="Segoe UI Semibold" panose="020B0702040204020203" pitchFamily="34" charset="0"/>
              <a:cs typeface="Segoe UI Semibold" panose="020B0702040204020203" pitchFamily="34" charset="0"/>
            </a:rPr>
            <a:t>38.6% and 38.9%</a:t>
          </a:r>
          <a:r>
            <a:rPr lang="en-IN" sz="1100" baseline="0"/>
            <a:t>, While Net Margin improved from </a:t>
          </a:r>
          <a:r>
            <a:rPr lang="en-IN" sz="1100" baseline="0">
              <a:latin typeface="Segoe UI Semibold" panose="020B0702040204020203" pitchFamily="34" charset="0"/>
              <a:cs typeface="Segoe UI Semibold" panose="020B0702040204020203" pitchFamily="34" charset="0"/>
            </a:rPr>
            <a:t>9.6% and 9.9%. </a:t>
          </a:r>
        </a:p>
        <a:p>
          <a:r>
            <a:rPr lang="en-IN" sz="1300" b="1" baseline="0"/>
            <a:t>3. High Dependence on Enterprise : </a:t>
          </a:r>
          <a:r>
            <a:rPr lang="en-IN" sz="1100" baseline="0"/>
            <a:t>The company is highly dependent on the </a:t>
          </a:r>
          <a:r>
            <a:rPr lang="en-IN" sz="1100" baseline="0">
              <a:latin typeface="Segoe UI Semibold" panose="020B0702040204020203" pitchFamily="34" charset="0"/>
              <a:cs typeface="Segoe UI Semibold" panose="020B0702040204020203" pitchFamily="34" charset="0"/>
            </a:rPr>
            <a:t>Enterprise Segment</a:t>
          </a:r>
          <a:r>
            <a:rPr lang="en-IN" sz="1100" baseline="0"/>
            <a:t>, which contribute around </a:t>
          </a:r>
          <a:r>
            <a:rPr lang="en-IN" sz="1100" baseline="0">
              <a:latin typeface="Segoe UI Semibold" panose="020B0702040204020203" pitchFamily="34" charset="0"/>
              <a:cs typeface="Segoe UI Semibold" panose="020B0702040204020203" pitchFamily="34" charset="0"/>
            </a:rPr>
            <a:t>48.34% of total revenue</a:t>
          </a:r>
          <a:r>
            <a:rPr lang="en-IN" sz="1100" baseline="0"/>
            <a:t>. The 	Consumer Segment is the smallest contributor, accounting for only </a:t>
          </a:r>
          <a:r>
            <a:rPr lang="en-IN" sz="1100" baseline="0">
              <a:latin typeface="Segoe UI Semibold" panose="020B0702040204020203" pitchFamily="34" charset="0"/>
              <a:cs typeface="Segoe UI Semibold" panose="020B0702040204020203" pitchFamily="34" charset="0"/>
            </a:rPr>
            <a:t>21.63%</a:t>
          </a:r>
          <a:r>
            <a:rPr lang="en-IN" sz="1100" baseline="0"/>
            <a:t> of revenue. </a:t>
          </a:r>
        </a:p>
        <a:p>
          <a:r>
            <a:rPr lang="en-IN" sz="1300" b="1" baseline="0"/>
            <a:t>4. Expense Trends - Sales Marketing vs. G&amp;A:</a:t>
          </a:r>
          <a:r>
            <a:rPr lang="en-IN" sz="1200" b="1" baseline="0"/>
            <a:t>  </a:t>
          </a:r>
          <a:r>
            <a:rPr lang="en-IN" sz="1100" baseline="0">
              <a:latin typeface="Segoe UI Semibold" panose="020B0702040204020203" pitchFamily="34" charset="0"/>
              <a:cs typeface="Segoe UI Semibold" panose="020B0702040204020203" pitchFamily="34" charset="0"/>
            </a:rPr>
            <a:t>Sales &amp; Marketing (S&amp;M) expenses </a:t>
          </a:r>
          <a:r>
            <a:rPr lang="en-IN" sz="1100" baseline="0"/>
            <a:t>have increased slightly from </a:t>
          </a:r>
          <a:r>
            <a:rPr lang="en-IN" sz="1100" baseline="0">
              <a:latin typeface="Segoe UI Semibold" panose="020B0702040204020203" pitchFamily="34" charset="0"/>
              <a:cs typeface="Segoe UI Semibold" panose="020B0702040204020203" pitchFamily="34" charset="0"/>
            </a:rPr>
            <a:t>10.5% to 10.8% of revenue</a:t>
          </a:r>
          <a:r>
            <a:rPr lang="en-IN" sz="1100" baseline="0"/>
            <a:t>. On the other 	hand, </a:t>
          </a:r>
          <a:r>
            <a:rPr lang="en-IN" sz="1100" baseline="0">
              <a:latin typeface="Segoe UI Semibold" panose="020B0702040204020203" pitchFamily="34" charset="0"/>
              <a:cs typeface="Segoe UI Semibold" panose="020B0702040204020203" pitchFamily="34" charset="0"/>
            </a:rPr>
            <a:t>Depreciation and Interest expenses </a:t>
          </a:r>
          <a:r>
            <a:rPr lang="en-IN" sz="1100" baseline="0"/>
            <a:t>are </a:t>
          </a:r>
          <a:r>
            <a:rPr lang="en-IN" sz="1100" baseline="0">
              <a:latin typeface="Segoe UI Semibold" panose="020B0702040204020203" pitchFamily="34" charset="0"/>
              <a:cs typeface="Segoe UI Semibold" panose="020B0702040204020203" pitchFamily="34" charset="0"/>
            </a:rPr>
            <a:t>well controlled and have been decling</a:t>
          </a:r>
          <a:r>
            <a:rPr lang="en-IN" sz="1100" baseline="0"/>
            <a:t>. G&amp;A is decling from </a:t>
          </a:r>
          <a:r>
            <a:rPr lang="en-IN" sz="1100" baseline="0">
              <a:latin typeface="Segoe UI Semibold" panose="020B0702040204020203" pitchFamily="34" charset="0"/>
              <a:cs typeface="Segoe UI Semibold" panose="020B0702040204020203" pitchFamily="34" charset="0"/>
            </a:rPr>
            <a:t>6.5% in 2023 to 6.3% in 2025</a:t>
          </a:r>
          <a:r>
            <a:rPr lang="en-IN" sz="1100" baseline="0"/>
            <a:t>.</a:t>
          </a:r>
        </a:p>
        <a:p>
          <a:r>
            <a:rPr lang="en-IN" sz="1300" b="1" baseline="0"/>
            <a:t>5. Stagnant Working Capital : </a:t>
          </a:r>
          <a:r>
            <a:rPr lang="en-IN" sz="1100" baseline="0"/>
            <a:t>The Company's </a:t>
          </a:r>
          <a:r>
            <a:rPr lang="en-IN" sz="1100" baseline="0">
              <a:latin typeface="Segoe UI Semibold" panose="020B0702040204020203" pitchFamily="34" charset="0"/>
              <a:cs typeface="Segoe UI Semibold" panose="020B0702040204020203" pitchFamily="34" charset="0"/>
            </a:rPr>
            <a:t>cash cycle hasn't improved significantly</a:t>
          </a:r>
          <a:r>
            <a:rPr lang="en-IN" sz="1100" baseline="0"/>
            <a:t>. For the last three years, The company has taken around </a:t>
          </a:r>
          <a:r>
            <a:rPr lang="en-IN" sz="1100" baseline="0">
              <a:latin typeface="Segoe UI Semibold" panose="020B0702040204020203" pitchFamily="34" charset="0"/>
              <a:cs typeface="Segoe UI Semibold" panose="020B0702040204020203" pitchFamily="34" charset="0"/>
            </a:rPr>
            <a:t>42 days to 	collect payment from customers (DSO) </a:t>
          </a:r>
          <a:r>
            <a:rPr lang="en-IN" sz="1100" baseline="0"/>
            <a:t>and around </a:t>
          </a:r>
          <a:r>
            <a:rPr lang="en-IN" sz="1100" baseline="0">
              <a:latin typeface="Segoe UI Semibold" panose="020B0702040204020203" pitchFamily="34" charset="0"/>
              <a:cs typeface="Segoe UI Semibold" panose="020B0702040204020203" pitchFamily="34" charset="0"/>
            </a:rPr>
            <a:t>37-39 days to pay suppliers (DPO</a:t>
          </a:r>
          <a:r>
            <a:rPr lang="en-IN" sz="1100" baseline="0"/>
            <a:t>). This Suggests that there has been </a:t>
          </a:r>
          <a:r>
            <a:rPr lang="en-IN" sz="1100" baseline="0">
              <a:latin typeface="Segoe UI Semibold" panose="020B0702040204020203" pitchFamily="34" charset="0"/>
              <a:cs typeface="Segoe UI Semibold" panose="020B0702040204020203" pitchFamily="34" charset="0"/>
            </a:rPr>
            <a:t>limited improvement  in working capital efficiency and cash flow management.</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hav" refreshedDate="46266.262278819442" backgroundQuery="1" createdVersion="6" refreshedVersion="6" minRefreshableVersion="3" recordCount="0" supportSubquery="1" supportAdvancedDrill="1" xr:uid="{55D340BF-B175-410F-A4F8-7AD0C8256E63}">
  <cacheSource type="external" connectionId="3"/>
  <cacheFields count="6">
    <cacheField name="[tbl_HistFin].[Month].[Month]" caption="Month" numFmtId="0" level="1">
      <sharedItems containsSemiMixedTypes="0" containsNonDate="0" containsDate="1" containsString="0" minDate="2023-01-01T00:00:00" maxDate="2023-12-02T00:00:00" count="12">
        <d v="2023-01-01T00:00:00"/>
        <d v="2023-02-01T00:00:00"/>
        <d v="2023-03-01T00:00:00"/>
        <d v="2023-04-01T00:00:00"/>
        <d v="2023-05-01T00:00:00"/>
        <d v="2023-06-01T00:00:00"/>
        <d v="2023-07-01T00:00:00"/>
        <d v="2023-08-01T00:00:00"/>
        <d v="2023-09-01T00:00:00"/>
        <d v="2023-10-01T00:00:00"/>
        <d v="2023-11-01T00:00:00"/>
        <d v="2023-12-01T00:00:00"/>
      </sharedItems>
    </cacheField>
    <cacheField name="[tbl_HistFin].[Month (Year)].[Month (Year)]" caption="Month (Year)" numFmtId="0" hierarchy="17" level="1">
      <sharedItems count="3">
        <s v="2023"/>
        <s v="2024"/>
        <s v="2025"/>
      </sharedItems>
    </cacheField>
    <cacheField name="[Measures].[Sum of Revenue]" caption="Sum of Revenue" numFmtId="0" hierarchy="35" level="32767"/>
    <cacheField name="[Measures].[Sum of Gross_Profit]" caption="Sum of Gross_Profit" numFmtId="0" hierarchy="36" level="32767"/>
    <cacheField name="[Measures].[Sum of Net_Income]" caption="Sum of Net_Income" numFmtId="0" hierarchy="38" level="32767"/>
    <cacheField name="[Measures].[Sum of EBIT]" caption="Sum of EBIT" numFmtId="0" hierarchy="37" level="32767"/>
  </cacheFields>
  <cacheHierarchies count="54">
    <cacheHierarchy uniqueName="[tbl_HistFin].[Month]" caption="Month" attribute="1" time="1" defaultMemberUniqueName="[tbl_HistFin].[Month].[All]" allUniqueName="[tbl_HistFin].[Month].[All]" dimensionUniqueName="[tbl_HistFin]" displayFolder="" count="2" memberValueDatatype="7" unbalanced="0">
      <fieldsUsage count="2">
        <fieldUsage x="-1"/>
        <fieldUsage x="0"/>
      </fieldsUsage>
    </cacheHierarchy>
    <cacheHierarchy uniqueName="[tbl_HistFin].[Revenue]" caption="Revenue" attribute="1" defaultMemberUniqueName="[tbl_HistFin].[Revenue].[All]" allUniqueName="[tbl_HistFin].[Revenue].[All]" dimensionUniqueName="[tbl_HistFin]" displayFolder="" count="0" memberValueDatatype="5" unbalanced="0"/>
    <cacheHierarchy uniqueName="[tbl_HistFin].[COGS]" caption="COGS" attribute="1" defaultMemberUniqueName="[tbl_HistFin].[COGS].[All]" allUniqueName="[tbl_HistFin].[COGS].[All]" dimensionUniqueName="[tbl_HistFin]" displayFolder="" count="0" memberValueDatatype="5" unbalanced="0"/>
    <cacheHierarchy uniqueName="[tbl_HistFin].[Gross_Profit]" caption="Gross_Profit" attribute="1" defaultMemberUniqueName="[tbl_HistFin].[Gross_Profit].[All]" allUniqueName="[tbl_HistFin].[Gross_Profit].[All]" dimensionUniqueName="[tbl_HistFin]" displayFolder="" count="0" memberValueDatatype="5" unbalanced="0"/>
    <cacheHierarchy uniqueName="[tbl_HistFin].[Sales_Marketing]" caption="Sales_Marketing" attribute="1" defaultMemberUniqueName="[tbl_HistFin].[Sales_Marketing].[All]" allUniqueName="[tbl_HistFin].[Sales_Marketing].[All]" dimensionUniqueName="[tbl_HistFin]" displayFolder="" count="0" memberValueDatatype="5" unbalanced="0"/>
    <cacheHierarchy uniqueName="[tbl_HistFin].[R&amp;D]" caption="R&amp;D" attribute="1" defaultMemberUniqueName="[tbl_HistFin].[R&amp;D].[All]" allUniqueName="[tbl_HistFin].[R&amp;D].[All]" dimensionUniqueName="[tbl_HistFin]" displayFolder="" count="0" memberValueDatatype="5" unbalanced="0"/>
    <cacheHierarchy uniqueName="[tbl_HistFin].[G&amp;A]" caption="G&amp;A" attribute="1" defaultMemberUniqueName="[tbl_HistFin].[G&amp;A].[All]" allUniqueName="[tbl_HistFin].[G&amp;A].[All]" dimensionUniqueName="[tbl_HistFin]" displayFolder="" count="0" memberValueDatatype="5" unbalanced="0"/>
    <cacheHierarchy uniqueName="[tbl_HistFin].[Depreciation]" caption="Depreciation" attribute="1" defaultMemberUniqueName="[tbl_HistFin].[Depreciation].[All]" allUniqueName="[tbl_HistFin].[Depreciation].[All]" dimensionUniqueName="[tbl_HistFin]" displayFolder="" count="0" memberValueDatatype="5" unbalanced="0"/>
    <cacheHierarchy uniqueName="[tbl_HistFin].[EBIT]" caption="EBIT" attribute="1" defaultMemberUniqueName="[tbl_HistFin].[EBIT].[All]" allUniqueName="[tbl_HistFin].[EBIT].[All]" dimensionUniqueName="[tbl_HistFin]" displayFolder="" count="0" memberValueDatatype="5" unbalanced="0"/>
    <cacheHierarchy uniqueName="[tbl_HistFin].[Interest_Expense]" caption="Interest_Expense" attribute="1" defaultMemberUniqueName="[tbl_HistFin].[Interest_Expense].[All]" allUniqueName="[tbl_HistFin].[Interest_Expense].[All]" dimensionUniqueName="[tbl_HistFin]" displayFolder="" count="0" memberValueDatatype="5" unbalanced="0"/>
    <cacheHierarchy uniqueName="[tbl_HistFin].[EBT]" caption="EBT" attribute="1" defaultMemberUniqueName="[tbl_HistFin].[EBT].[All]" allUniqueName="[tbl_HistFin].[EBT].[All]" dimensionUniqueName="[tbl_HistFin]" displayFolder="" count="0" memberValueDatatype="5" unbalanced="0"/>
    <cacheHierarchy uniqueName="[tbl_HistFin].[Tax]" caption="Tax" attribute="1" defaultMemberUniqueName="[tbl_HistFin].[Tax].[All]" allUniqueName="[tbl_HistFin].[Tax].[All]" dimensionUniqueName="[tbl_HistFin]" displayFolder="" count="0" memberValueDatatype="5" unbalanced="0"/>
    <cacheHierarchy uniqueName="[tbl_HistFin].[Net_Income]" caption="Net_Income" attribute="1" defaultMemberUniqueName="[tbl_HistFin].[Net_Income].[All]" allUniqueName="[tbl_HistFin].[Net_Income].[All]" dimensionUniqueName="[tbl_HistFin]" displayFolder="" count="0" memberValueDatatype="5" unbalanced="0"/>
    <cacheHierarchy uniqueName="[tbl_HistFin].[DSO]" caption="DSO" attribute="1" defaultMemberUniqueName="[tbl_HistFin].[DSO].[All]" allUniqueName="[tbl_HistFin].[DSO].[All]" dimensionUniqueName="[tbl_HistFin]" displayFolder="" count="0" memberValueDatatype="5" unbalanced="0"/>
    <cacheHierarchy uniqueName="[tbl_HistFin].[DIO]" caption="DIO" attribute="1" defaultMemberUniqueName="[tbl_HistFin].[DIO].[All]" allUniqueName="[tbl_HistFin].[DIO].[All]" dimensionUniqueName="[tbl_HistFin]" displayFolder="" count="0" memberValueDatatype="5" unbalanced="0"/>
    <cacheHierarchy uniqueName="[tbl_HistFin].[DPO]" caption="DPO" attribute="1" defaultMemberUniqueName="[tbl_HistFin].[DPO].[All]" allUniqueName="[tbl_HistFin].[DPO].[All]" dimensionUniqueName="[tbl_HistFin]" displayFolder="" count="0" memberValueDatatype="5" unbalanced="0"/>
    <cacheHierarchy uniqueName="[tbl_HistFin].[Capex]" caption="Capex" attribute="1" defaultMemberUniqueName="[tbl_HistFin].[Capex].[All]" allUniqueName="[tbl_HistFin].[Capex].[All]" dimensionUniqueName="[tbl_HistFin]" displayFolder="" count="0" memberValueDatatype="5" unbalanced="0"/>
    <cacheHierarchy uniqueName="[tbl_HistFin].[Month (Year)]" caption="Month (Year)" attribute="1" defaultMemberUniqueName="[tbl_HistFin].[Month (Year)].[All]" allUniqueName="[tbl_HistFin].[Month (Year)].[All]" dimensionUniqueName="[tbl_HistFin]" displayFolder="" count="2" memberValueDatatype="130" unbalanced="0">
      <fieldsUsage count="2">
        <fieldUsage x="-1"/>
        <fieldUsage x="1"/>
      </fieldsUsage>
    </cacheHierarchy>
    <cacheHierarchy uniqueName="[tbl_HistFin].[Month (Quarter)]" caption="Month (Quarter)" attribute="1" defaultMemberUniqueName="[tbl_HistFin].[Month (Quarter)].[All]" allUniqueName="[tbl_HistFin].[Month (Quarter)].[All]" dimensionUniqueName="[tbl_HistFin]" displayFolder="" count="0" memberValueDatatype="130" unbalanced="0"/>
    <cacheHierarchy uniqueName="[tbl_HistFin].[Month (Month)]" caption="Month (Month)" attribute="1" defaultMemberUniqueName="[tbl_HistFin].[Month (Month)].[All]" allUniqueName="[tbl_HistFin].[Month (Month)].[All]" dimensionUniqueName="[tbl_HistFin]" displayFolder="" count="0" memberValueDatatype="130" unbalanced="0"/>
    <cacheHierarchy uniqueName="[tbl_HistOps].[Month]" caption="Month" attribute="1" time="1" defaultMemberUniqueName="[tbl_HistOps].[Month].[All]" allUniqueName="[tbl_HistOps].[Month].[All]" dimensionUniqueName="[tbl_HistOps]" displayFolder="" count="0" memberValueDatatype="7" unbalanced="0"/>
    <cacheHierarchy uniqueName="[tbl_HistOps].[Segment]" caption="Segment" attribute="1" defaultMemberUniqueName="[tbl_HistOps].[Segment].[All]" allUniqueName="[tbl_HistOps].[Segment].[All]" dimensionUniqueName="[tbl_HistOps]" displayFolder="" count="0" memberValueDatatype="130" unbalanced="0"/>
    <cacheHierarchy uniqueName="[tbl_HistOps].[Region]" caption="Region" attribute="1" defaultMemberUniqueName="[tbl_HistOps].[Region].[All]" allUniqueName="[tbl_HistOps].[Region].[All]" dimensionUniqueName="[tbl_HistOps]" displayFolder="" count="0" memberValueDatatype="130" unbalanced="0"/>
    <cacheHierarchy uniqueName="[tbl_HistOps].[Units]" caption="Units" attribute="1" defaultMemberUniqueName="[tbl_HistOps].[Units].[All]" allUniqueName="[tbl_HistOps].[Units].[All]" dimensionUniqueName="[tbl_HistOps]" displayFolder="" count="0" memberValueDatatype="20" unbalanced="0"/>
    <cacheHierarchy uniqueName="[tbl_HistOps].[Avg_Price]" caption="Avg_Price" attribute="1" defaultMemberUniqueName="[tbl_HistOps].[Avg_Price].[All]" allUniqueName="[tbl_HistOps].[Avg_Price].[All]" dimensionUniqueName="[tbl_HistOps]" displayFolder="" count="0" memberValueDatatype="5" unbalanced="0"/>
    <cacheHierarchy uniqueName="[tbl_HistOps].[Revenue]" caption="Revenue" attribute="1" defaultMemberUniqueName="[tbl_HistOps].[Revenue].[All]" allUniqueName="[tbl_HistOps].[Revenue].[All]" dimensionUniqueName="[tbl_HistOps]" displayFolder="" count="0" memberValueDatatype="5" unbalanced="0"/>
    <cacheHierarchy uniqueName="[tbl_HistOps].[COGS]" caption="COGS" attribute="1" defaultMemberUniqueName="[tbl_HistOps].[COGS].[All]" allUniqueName="[tbl_HistOps].[COGS].[All]" dimensionUniqueName="[tbl_HistOps]" displayFolder="" count="0" memberValueDatatype="5" unbalanced="0"/>
    <cacheHierarchy uniqueName="[tbl_HistOps].[Month (Year)]" caption="Month (Year)" attribute="1" defaultMemberUniqueName="[tbl_HistOps].[Month (Year)].[All]" allUniqueName="[tbl_HistOps].[Month (Year)].[All]" dimensionUniqueName="[tbl_HistOps]" displayFolder="" count="0" memberValueDatatype="130" unbalanced="0"/>
    <cacheHierarchy uniqueName="[tbl_HistOps].[Month (Quarter)]" caption="Month (Quarter)" attribute="1" defaultMemberUniqueName="[tbl_HistOps].[Month (Quarter)].[All]" allUniqueName="[tbl_HistOps].[Month (Quarter)].[All]" dimensionUniqueName="[tbl_HistOps]" displayFolder="" count="0" memberValueDatatype="130" unbalanced="0"/>
    <cacheHierarchy uniqueName="[tbl_HistOps].[Month (Month)]" caption="Month (Month)" attribute="1" defaultMemberUniqueName="[tbl_HistOps].[Month (Month)].[All]" allUniqueName="[tbl_HistOps].[Month (Month)].[All]" dimensionUniqueName="[tbl_HistOps]" displayFolder="" count="0" memberValueDatatype="130" unbalanced="0"/>
    <cacheHierarchy uniqueName="[tbl_HistFin].[Month (Month Index)]" caption="Month (Month Index)" attribute="1" defaultMemberUniqueName="[tbl_HistFin].[Month (Month Index)].[All]" allUniqueName="[tbl_HistFin].[Month (Month Index)].[All]" dimensionUniqueName="[tbl_HistFin]" displayFolder="" count="0" memberValueDatatype="20" unbalanced="0" hidden="1"/>
    <cacheHierarchy uniqueName="[tbl_HistOps].[Month (Month Index)]" caption="Month (Month Index)" attribute="1" defaultMemberUniqueName="[tbl_HistOps].[Month (Month Index)].[All]" allUniqueName="[tbl_HistOps].[Month (Month Index)].[All]" dimensionUniqueName="[tbl_HistOps]" displayFolder="" count="0" memberValueDatatype="20" unbalanced="0" hidden="1"/>
    <cacheHierarchy uniqueName="[Measures].[__XL_Count tbl_HistOps]" caption="__XL_Count tbl_HistOps" measure="1" displayFolder="" measureGroup="tbl_HistOps" count="0" hidden="1"/>
    <cacheHierarchy uniqueName="[Measures].[__XL_Count tbl_HistFin]" caption="__XL_Count tbl_HistFin" measure="1" displayFolder="" measureGroup="tbl_HistFin" count="0" hidden="1"/>
    <cacheHierarchy uniqueName="[Measures].[__No measures defined]" caption="__No measures defined" measure="1" displayFolder="" count="0" hidden="1"/>
    <cacheHierarchy uniqueName="[Measures].[Sum of Revenue]" caption="Sum of Revenue" measure="1" displayFolder="" measureGroup="tbl_HistFin"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Gross_Profit]" caption="Sum of Gross_Profit" measure="1" displayFolder="" measureGroup="tbl_HistFin"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EBIT]" caption="Sum of EBIT" measure="1" displayFolder="" measureGroup="tbl_HistFin" count="0" oneField="1" hidden="1">
      <fieldsUsage count="1">
        <fieldUsage x="5"/>
      </fieldsUsage>
      <extLst>
        <ext xmlns:x15="http://schemas.microsoft.com/office/spreadsheetml/2010/11/main" uri="{B97F6D7D-B522-45F9-BDA1-12C45D357490}">
          <x15:cacheHierarchy aggregatedColumn="8"/>
        </ext>
      </extLst>
    </cacheHierarchy>
    <cacheHierarchy uniqueName="[Measures].[Sum of Net_Income]" caption="Sum of Net_Income" measure="1" displayFolder="" measureGroup="tbl_HistFin" count="0" oneField="1" hidden="1">
      <fieldsUsage count="1">
        <fieldUsage x="4"/>
      </fieldsUsage>
      <extLst>
        <ext xmlns:x15="http://schemas.microsoft.com/office/spreadsheetml/2010/11/main" uri="{B97F6D7D-B522-45F9-BDA1-12C45D357490}">
          <x15:cacheHierarchy aggregatedColumn="12"/>
        </ext>
      </extLst>
    </cacheHierarchy>
    <cacheHierarchy uniqueName="[Measures].[Sum of Revenue 2]" caption="Sum of Revenue 2" measure="1" displayFolder="" measureGroup="tbl_HistOps" count="0" hidden="1">
      <extLst>
        <ext xmlns:x15="http://schemas.microsoft.com/office/spreadsheetml/2010/11/main" uri="{B97F6D7D-B522-45F9-BDA1-12C45D357490}">
          <x15:cacheHierarchy aggregatedColumn="25"/>
        </ext>
      </extLst>
    </cacheHierarchy>
    <cacheHierarchy uniqueName="[Measures].[Sum of Sales_Marketing]" caption="Sum of Sales_Marketing" measure="1" displayFolder="" measureGroup="tbl_HistFin" count="0" hidden="1">
      <extLst>
        <ext xmlns:x15="http://schemas.microsoft.com/office/spreadsheetml/2010/11/main" uri="{B97F6D7D-B522-45F9-BDA1-12C45D357490}">
          <x15:cacheHierarchy aggregatedColumn="4"/>
        </ext>
      </extLst>
    </cacheHierarchy>
    <cacheHierarchy uniqueName="[Measures].[Sum of R&amp;D]" caption="Sum of R&amp;D" measure="1" displayFolder="" measureGroup="tbl_HistFin" count="0" hidden="1">
      <extLst>
        <ext xmlns:x15="http://schemas.microsoft.com/office/spreadsheetml/2010/11/main" uri="{B97F6D7D-B522-45F9-BDA1-12C45D357490}">
          <x15:cacheHierarchy aggregatedColumn="5"/>
        </ext>
      </extLst>
    </cacheHierarchy>
    <cacheHierarchy uniqueName="[Measures].[Sum of G&amp;A]" caption="Sum of G&amp;A" measure="1" displayFolder="" measureGroup="tbl_HistFin" count="0" hidden="1">
      <extLst>
        <ext xmlns:x15="http://schemas.microsoft.com/office/spreadsheetml/2010/11/main" uri="{B97F6D7D-B522-45F9-BDA1-12C45D357490}">
          <x15:cacheHierarchy aggregatedColumn="6"/>
        </ext>
      </extLst>
    </cacheHierarchy>
    <cacheHierarchy uniqueName="[Measures].[Sum of Depreciation]" caption="Sum of Depreciation" measure="1" displayFolder="" measureGroup="tbl_HistFin" count="0" hidden="1">
      <extLst>
        <ext xmlns:x15="http://schemas.microsoft.com/office/spreadsheetml/2010/11/main" uri="{B97F6D7D-B522-45F9-BDA1-12C45D357490}">
          <x15:cacheHierarchy aggregatedColumn="7"/>
        </ext>
      </extLst>
    </cacheHierarchy>
    <cacheHierarchy uniqueName="[Measures].[Sum of Interest_Expense]" caption="Sum of Interest_Expense" measure="1" displayFolder="" measureGroup="tbl_HistFin" count="0" hidden="1">
      <extLst>
        <ext xmlns:x15="http://schemas.microsoft.com/office/spreadsheetml/2010/11/main" uri="{B97F6D7D-B522-45F9-BDA1-12C45D357490}">
          <x15:cacheHierarchy aggregatedColumn="9"/>
        </ext>
      </extLst>
    </cacheHierarchy>
    <cacheHierarchy uniqueName="[Measures].[Sum of DSO]" caption="Sum of DSO" measure="1" displayFolder="" measureGroup="tbl_HistFin" count="0" hidden="1">
      <extLst>
        <ext xmlns:x15="http://schemas.microsoft.com/office/spreadsheetml/2010/11/main" uri="{B97F6D7D-B522-45F9-BDA1-12C45D357490}">
          <x15:cacheHierarchy aggregatedColumn="13"/>
        </ext>
      </extLst>
    </cacheHierarchy>
    <cacheHierarchy uniqueName="[Measures].[Sum of DIO]" caption="Sum of DIO" measure="1" displayFolder="" measureGroup="tbl_HistFin" count="0" hidden="1">
      <extLst>
        <ext xmlns:x15="http://schemas.microsoft.com/office/spreadsheetml/2010/11/main" uri="{B97F6D7D-B522-45F9-BDA1-12C45D357490}">
          <x15:cacheHierarchy aggregatedColumn="14"/>
        </ext>
      </extLst>
    </cacheHierarchy>
    <cacheHierarchy uniqueName="[Measures].[Sum of DPO]" caption="Sum of DPO" measure="1" displayFolder="" measureGroup="tbl_HistFin" count="0" hidden="1">
      <extLst>
        <ext xmlns:x15="http://schemas.microsoft.com/office/spreadsheetml/2010/11/main" uri="{B97F6D7D-B522-45F9-BDA1-12C45D357490}">
          <x15:cacheHierarchy aggregatedColumn="15"/>
        </ext>
      </extLst>
    </cacheHierarchy>
    <cacheHierarchy uniqueName="[Measures].[Average of DSO]" caption="Average of DSO" measure="1" displayFolder="" measureGroup="tbl_HistFin" count="0" hidden="1">
      <extLst>
        <ext xmlns:x15="http://schemas.microsoft.com/office/spreadsheetml/2010/11/main" uri="{B97F6D7D-B522-45F9-BDA1-12C45D357490}">
          <x15:cacheHierarchy aggregatedColumn="13"/>
        </ext>
      </extLst>
    </cacheHierarchy>
    <cacheHierarchy uniqueName="[Measures].[Average of DIO]" caption="Average of DIO" measure="1" displayFolder="" measureGroup="tbl_HistFin" count="0" hidden="1">
      <extLst>
        <ext xmlns:x15="http://schemas.microsoft.com/office/spreadsheetml/2010/11/main" uri="{B97F6D7D-B522-45F9-BDA1-12C45D357490}">
          <x15:cacheHierarchy aggregatedColumn="14"/>
        </ext>
      </extLst>
    </cacheHierarchy>
    <cacheHierarchy uniqueName="[Measures].[Average of DPO]" caption="Average of DPO" measure="1" displayFolder="" measureGroup="tbl_HistFin"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tbl_HistOps" count="0" hidden="1">
      <extLst>
        <ext xmlns:x15="http://schemas.microsoft.com/office/spreadsheetml/2010/11/main" uri="{B97F6D7D-B522-45F9-BDA1-12C45D357490}">
          <x15:cacheHierarchy aggregatedColumn="26"/>
        </ext>
      </extLst>
    </cacheHierarchy>
    <cacheHierarchy uniqueName="[Measures].[Sum of Tax]" caption="Sum of Tax" measure="1" displayFolder="" measureGroup="tbl_HistFin" count="0" hidden="1">
      <extLst>
        <ext xmlns:x15="http://schemas.microsoft.com/office/spreadsheetml/2010/11/main" uri="{B97F6D7D-B522-45F9-BDA1-12C45D357490}">
          <x15:cacheHierarchy aggregatedColumn="11"/>
        </ext>
      </extLst>
    </cacheHierarchy>
    <cacheHierarchy uniqueName="[Measures].[Sum of Capex]" caption="Sum of Capex" measure="1" displayFolder="" measureGroup="tbl_HistFin"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tbl_HistFin" uniqueName="[tbl_HistFin]" caption="tbl_HistFin"/>
    <dimension name="tbl_HistOps" uniqueName="[tbl_HistOps]" caption="tbl_HistOps"/>
  </dimensions>
  <measureGroups count="2">
    <measureGroup name="tbl_HistFin" caption="tbl_HistFin"/>
    <measureGroup name="tbl_HistOps" caption="tbl_HistOp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hav" refreshedDate="46266.570268750002" backgroundQuery="1" createdVersion="6" refreshedVersion="6" minRefreshableVersion="3" recordCount="0" supportSubquery="1" supportAdvancedDrill="1" xr:uid="{396C39F5-F5FC-4592-AEBE-5614A7A95A7F}">
  <cacheSource type="external" connectionId="3"/>
  <cacheFields count="5">
    <cacheField name="[tbl_HistFin].[Month].[Month]" caption="Month" numFmtId="0" level="1">
      <sharedItems containsSemiMixedTypes="0" containsNonDate="0" containsDate="1" containsString="0" minDate="2023-01-01T00:00:00" maxDate="2023-12-02T00:00:00" count="12">
        <d v="2023-01-01T00:00:00"/>
        <d v="2023-02-01T00:00:00"/>
        <d v="2023-03-01T00:00:00"/>
        <d v="2023-04-01T00:00:00"/>
        <d v="2023-05-01T00:00:00"/>
        <d v="2023-06-01T00:00:00"/>
        <d v="2023-07-01T00:00:00"/>
        <d v="2023-08-01T00:00:00"/>
        <d v="2023-09-01T00:00:00"/>
        <d v="2023-10-01T00:00:00"/>
        <d v="2023-11-01T00:00:00"/>
        <d v="2023-12-01T00:00:00"/>
      </sharedItems>
    </cacheField>
    <cacheField name="[tbl_HistFin].[Month (Year)].[Month (Year)]" caption="Month (Year)" numFmtId="0" hierarchy="17" level="1">
      <sharedItems count="3">
        <s v="2023"/>
        <s v="2024"/>
        <s v="2025"/>
      </sharedItems>
    </cacheField>
    <cacheField name="[Measures].[Average of DSO]" caption="Average of DSO" numFmtId="0" hierarchy="48" level="32767"/>
    <cacheField name="[Measures].[Average of DIO]" caption="Average of DIO" numFmtId="0" hierarchy="49" level="32767"/>
    <cacheField name="[Measures].[Average of DPO]" caption="Average of DPO" numFmtId="0" hierarchy="50" level="32767"/>
  </cacheFields>
  <cacheHierarchies count="54">
    <cacheHierarchy uniqueName="[tbl_HistFin].[Month]" caption="Month" attribute="1" time="1" defaultMemberUniqueName="[tbl_HistFin].[Month].[All]" allUniqueName="[tbl_HistFin].[Month].[All]" dimensionUniqueName="[tbl_HistFin]" displayFolder="" count="2" memberValueDatatype="7" unbalanced="0">
      <fieldsUsage count="2">
        <fieldUsage x="-1"/>
        <fieldUsage x="0"/>
      </fieldsUsage>
    </cacheHierarchy>
    <cacheHierarchy uniqueName="[tbl_HistFin].[Revenue]" caption="Revenue" attribute="1" defaultMemberUniqueName="[tbl_HistFin].[Revenue].[All]" allUniqueName="[tbl_HistFin].[Revenue].[All]" dimensionUniqueName="[tbl_HistFin]" displayFolder="" count="0" memberValueDatatype="5" unbalanced="0"/>
    <cacheHierarchy uniqueName="[tbl_HistFin].[COGS]" caption="COGS" attribute="1" defaultMemberUniqueName="[tbl_HistFin].[COGS].[All]" allUniqueName="[tbl_HistFin].[COGS].[All]" dimensionUniqueName="[tbl_HistFin]" displayFolder="" count="0" memberValueDatatype="5" unbalanced="0"/>
    <cacheHierarchy uniqueName="[tbl_HistFin].[Gross_Profit]" caption="Gross_Profit" attribute="1" defaultMemberUniqueName="[tbl_HistFin].[Gross_Profit].[All]" allUniqueName="[tbl_HistFin].[Gross_Profit].[All]" dimensionUniqueName="[tbl_HistFin]" displayFolder="" count="0" memberValueDatatype="5" unbalanced="0"/>
    <cacheHierarchy uniqueName="[tbl_HistFin].[Sales_Marketing]" caption="Sales_Marketing" attribute="1" defaultMemberUniqueName="[tbl_HistFin].[Sales_Marketing].[All]" allUniqueName="[tbl_HistFin].[Sales_Marketing].[All]" dimensionUniqueName="[tbl_HistFin]" displayFolder="" count="0" memberValueDatatype="5" unbalanced="0"/>
    <cacheHierarchy uniqueName="[tbl_HistFin].[R&amp;D]" caption="R&amp;D" attribute="1" defaultMemberUniqueName="[tbl_HistFin].[R&amp;D].[All]" allUniqueName="[tbl_HistFin].[R&amp;D].[All]" dimensionUniqueName="[tbl_HistFin]" displayFolder="" count="0" memberValueDatatype="5" unbalanced="0"/>
    <cacheHierarchy uniqueName="[tbl_HistFin].[G&amp;A]" caption="G&amp;A" attribute="1" defaultMemberUniqueName="[tbl_HistFin].[G&amp;A].[All]" allUniqueName="[tbl_HistFin].[G&amp;A].[All]" dimensionUniqueName="[tbl_HistFin]" displayFolder="" count="0" memberValueDatatype="5" unbalanced="0"/>
    <cacheHierarchy uniqueName="[tbl_HistFin].[Depreciation]" caption="Depreciation" attribute="1" defaultMemberUniqueName="[tbl_HistFin].[Depreciation].[All]" allUniqueName="[tbl_HistFin].[Depreciation].[All]" dimensionUniqueName="[tbl_HistFin]" displayFolder="" count="0" memberValueDatatype="5" unbalanced="0"/>
    <cacheHierarchy uniqueName="[tbl_HistFin].[EBIT]" caption="EBIT" attribute="1" defaultMemberUniqueName="[tbl_HistFin].[EBIT].[All]" allUniqueName="[tbl_HistFin].[EBIT].[All]" dimensionUniqueName="[tbl_HistFin]" displayFolder="" count="0" memberValueDatatype="5" unbalanced="0"/>
    <cacheHierarchy uniqueName="[tbl_HistFin].[Interest_Expense]" caption="Interest_Expense" attribute="1" defaultMemberUniqueName="[tbl_HistFin].[Interest_Expense].[All]" allUniqueName="[tbl_HistFin].[Interest_Expense].[All]" dimensionUniqueName="[tbl_HistFin]" displayFolder="" count="0" memberValueDatatype="5" unbalanced="0"/>
    <cacheHierarchy uniqueName="[tbl_HistFin].[EBT]" caption="EBT" attribute="1" defaultMemberUniqueName="[tbl_HistFin].[EBT].[All]" allUniqueName="[tbl_HistFin].[EBT].[All]" dimensionUniqueName="[tbl_HistFin]" displayFolder="" count="0" memberValueDatatype="5" unbalanced="0"/>
    <cacheHierarchy uniqueName="[tbl_HistFin].[Tax]" caption="Tax" attribute="1" defaultMemberUniqueName="[tbl_HistFin].[Tax].[All]" allUniqueName="[tbl_HistFin].[Tax].[All]" dimensionUniqueName="[tbl_HistFin]" displayFolder="" count="0" memberValueDatatype="5" unbalanced="0"/>
    <cacheHierarchy uniqueName="[tbl_HistFin].[Net_Income]" caption="Net_Income" attribute="1" defaultMemberUniqueName="[tbl_HistFin].[Net_Income].[All]" allUniqueName="[tbl_HistFin].[Net_Income].[All]" dimensionUniqueName="[tbl_HistFin]" displayFolder="" count="0" memberValueDatatype="5" unbalanced="0"/>
    <cacheHierarchy uniqueName="[tbl_HistFin].[DSO]" caption="DSO" attribute="1" defaultMemberUniqueName="[tbl_HistFin].[DSO].[All]" allUniqueName="[tbl_HistFin].[DSO].[All]" dimensionUniqueName="[tbl_HistFin]" displayFolder="" count="0" memberValueDatatype="5" unbalanced="0"/>
    <cacheHierarchy uniqueName="[tbl_HistFin].[DIO]" caption="DIO" attribute="1" defaultMemberUniqueName="[tbl_HistFin].[DIO].[All]" allUniqueName="[tbl_HistFin].[DIO].[All]" dimensionUniqueName="[tbl_HistFin]" displayFolder="" count="0" memberValueDatatype="5" unbalanced="0"/>
    <cacheHierarchy uniqueName="[tbl_HistFin].[DPO]" caption="DPO" attribute="1" defaultMemberUniqueName="[tbl_HistFin].[DPO].[All]" allUniqueName="[tbl_HistFin].[DPO].[All]" dimensionUniqueName="[tbl_HistFin]" displayFolder="" count="0" memberValueDatatype="5" unbalanced="0"/>
    <cacheHierarchy uniqueName="[tbl_HistFin].[Capex]" caption="Capex" attribute="1" defaultMemberUniqueName="[tbl_HistFin].[Capex].[All]" allUniqueName="[tbl_HistFin].[Capex].[All]" dimensionUniqueName="[tbl_HistFin]" displayFolder="" count="0" memberValueDatatype="5" unbalanced="0"/>
    <cacheHierarchy uniqueName="[tbl_HistFin].[Month (Year)]" caption="Month (Year)" attribute="1" defaultMemberUniqueName="[tbl_HistFin].[Month (Year)].[All]" allUniqueName="[tbl_HistFin].[Month (Year)].[All]" dimensionUniqueName="[tbl_HistFin]" displayFolder="" count="2" memberValueDatatype="130" unbalanced="0">
      <fieldsUsage count="2">
        <fieldUsage x="-1"/>
        <fieldUsage x="1"/>
      </fieldsUsage>
    </cacheHierarchy>
    <cacheHierarchy uniqueName="[tbl_HistFin].[Month (Quarter)]" caption="Month (Quarter)" attribute="1" defaultMemberUniqueName="[tbl_HistFin].[Month (Quarter)].[All]" allUniqueName="[tbl_HistFin].[Month (Quarter)].[All]" dimensionUniqueName="[tbl_HistFin]" displayFolder="" count="0" memberValueDatatype="130" unbalanced="0"/>
    <cacheHierarchy uniqueName="[tbl_HistFin].[Month (Month)]" caption="Month (Month)" attribute="1" defaultMemberUniqueName="[tbl_HistFin].[Month (Month)].[All]" allUniqueName="[tbl_HistFin].[Month (Month)].[All]" dimensionUniqueName="[tbl_HistFin]" displayFolder="" count="0" memberValueDatatype="130" unbalanced="0"/>
    <cacheHierarchy uniqueName="[tbl_HistOps].[Month]" caption="Month" attribute="1" time="1" defaultMemberUniqueName="[tbl_HistOps].[Month].[All]" allUniqueName="[tbl_HistOps].[Month].[All]" dimensionUniqueName="[tbl_HistOps]" displayFolder="" count="0" memberValueDatatype="7" unbalanced="0"/>
    <cacheHierarchy uniqueName="[tbl_HistOps].[Segment]" caption="Segment" attribute="1" defaultMemberUniqueName="[tbl_HistOps].[Segment].[All]" allUniqueName="[tbl_HistOps].[Segment].[All]" dimensionUniqueName="[tbl_HistOps]" displayFolder="" count="0" memberValueDatatype="130" unbalanced="0"/>
    <cacheHierarchy uniqueName="[tbl_HistOps].[Region]" caption="Region" attribute="1" defaultMemberUniqueName="[tbl_HistOps].[Region].[All]" allUniqueName="[tbl_HistOps].[Region].[All]" dimensionUniqueName="[tbl_HistOps]" displayFolder="" count="0" memberValueDatatype="130" unbalanced="0"/>
    <cacheHierarchy uniqueName="[tbl_HistOps].[Units]" caption="Units" attribute="1" defaultMemberUniqueName="[tbl_HistOps].[Units].[All]" allUniqueName="[tbl_HistOps].[Units].[All]" dimensionUniqueName="[tbl_HistOps]" displayFolder="" count="0" memberValueDatatype="20" unbalanced="0"/>
    <cacheHierarchy uniqueName="[tbl_HistOps].[Avg_Price]" caption="Avg_Price" attribute="1" defaultMemberUniqueName="[tbl_HistOps].[Avg_Price].[All]" allUniqueName="[tbl_HistOps].[Avg_Price].[All]" dimensionUniqueName="[tbl_HistOps]" displayFolder="" count="0" memberValueDatatype="5" unbalanced="0"/>
    <cacheHierarchy uniqueName="[tbl_HistOps].[Revenue]" caption="Revenue" attribute="1" defaultMemberUniqueName="[tbl_HistOps].[Revenue].[All]" allUniqueName="[tbl_HistOps].[Revenue].[All]" dimensionUniqueName="[tbl_HistOps]" displayFolder="" count="0" memberValueDatatype="5" unbalanced="0"/>
    <cacheHierarchy uniqueName="[tbl_HistOps].[COGS]" caption="COGS" attribute="1" defaultMemberUniqueName="[tbl_HistOps].[COGS].[All]" allUniqueName="[tbl_HistOps].[COGS].[All]" dimensionUniqueName="[tbl_HistOps]" displayFolder="" count="0" memberValueDatatype="5" unbalanced="0"/>
    <cacheHierarchy uniqueName="[tbl_HistOps].[Month (Year)]" caption="Month (Year)" attribute="1" defaultMemberUniqueName="[tbl_HistOps].[Month (Year)].[All]" allUniqueName="[tbl_HistOps].[Month (Year)].[All]" dimensionUniqueName="[tbl_HistOps]" displayFolder="" count="0" memberValueDatatype="130" unbalanced="0"/>
    <cacheHierarchy uniqueName="[tbl_HistOps].[Month (Quarter)]" caption="Month (Quarter)" attribute="1" defaultMemberUniqueName="[tbl_HistOps].[Month (Quarter)].[All]" allUniqueName="[tbl_HistOps].[Month (Quarter)].[All]" dimensionUniqueName="[tbl_HistOps]" displayFolder="" count="0" memberValueDatatype="130" unbalanced="0"/>
    <cacheHierarchy uniqueName="[tbl_HistOps].[Month (Month)]" caption="Month (Month)" attribute="1" defaultMemberUniqueName="[tbl_HistOps].[Month (Month)].[All]" allUniqueName="[tbl_HistOps].[Month (Month)].[All]" dimensionUniqueName="[tbl_HistOps]" displayFolder="" count="0" memberValueDatatype="130" unbalanced="0"/>
    <cacheHierarchy uniqueName="[tbl_HistFin].[Month (Month Index)]" caption="Month (Month Index)" attribute="1" defaultMemberUniqueName="[tbl_HistFin].[Month (Month Index)].[All]" allUniqueName="[tbl_HistFin].[Month (Month Index)].[All]" dimensionUniqueName="[tbl_HistFin]" displayFolder="" count="0" memberValueDatatype="20" unbalanced="0" hidden="1"/>
    <cacheHierarchy uniqueName="[tbl_HistOps].[Month (Month Index)]" caption="Month (Month Index)" attribute="1" defaultMemberUniqueName="[tbl_HistOps].[Month (Month Index)].[All]" allUniqueName="[tbl_HistOps].[Month (Month Index)].[All]" dimensionUniqueName="[tbl_HistOps]" displayFolder="" count="0" memberValueDatatype="20" unbalanced="0" hidden="1"/>
    <cacheHierarchy uniqueName="[Measures].[__XL_Count tbl_HistOps]" caption="__XL_Count tbl_HistOps" measure="1" displayFolder="" measureGroup="tbl_HistOps" count="0" hidden="1"/>
    <cacheHierarchy uniqueName="[Measures].[__XL_Count tbl_HistFin]" caption="__XL_Count tbl_HistFin" measure="1" displayFolder="" measureGroup="tbl_HistFin" count="0" hidden="1"/>
    <cacheHierarchy uniqueName="[Measures].[__No measures defined]" caption="__No measures defined" measure="1" displayFolder="" count="0" hidden="1"/>
    <cacheHierarchy uniqueName="[Measures].[Sum of Revenue]" caption="Sum of Revenue" measure="1" displayFolder="" measureGroup="tbl_HistFin" count="0" hidden="1">
      <extLst>
        <ext xmlns:x15="http://schemas.microsoft.com/office/spreadsheetml/2010/11/main" uri="{B97F6D7D-B522-45F9-BDA1-12C45D357490}">
          <x15:cacheHierarchy aggregatedColumn="1"/>
        </ext>
      </extLst>
    </cacheHierarchy>
    <cacheHierarchy uniqueName="[Measures].[Sum of Gross_Profit]" caption="Sum of Gross_Profit" measure="1" displayFolder="" measureGroup="tbl_HistFin" count="0" hidden="1">
      <extLst>
        <ext xmlns:x15="http://schemas.microsoft.com/office/spreadsheetml/2010/11/main" uri="{B97F6D7D-B522-45F9-BDA1-12C45D357490}">
          <x15:cacheHierarchy aggregatedColumn="3"/>
        </ext>
      </extLst>
    </cacheHierarchy>
    <cacheHierarchy uniqueName="[Measures].[Sum of EBIT]" caption="Sum of EBIT" measure="1" displayFolder="" measureGroup="tbl_HistFin" count="0" hidden="1">
      <extLst>
        <ext xmlns:x15="http://schemas.microsoft.com/office/spreadsheetml/2010/11/main" uri="{B97F6D7D-B522-45F9-BDA1-12C45D357490}">
          <x15:cacheHierarchy aggregatedColumn="8"/>
        </ext>
      </extLst>
    </cacheHierarchy>
    <cacheHierarchy uniqueName="[Measures].[Sum of Net_Income]" caption="Sum of Net_Income" measure="1" displayFolder="" measureGroup="tbl_HistFin" count="0" hidden="1">
      <extLst>
        <ext xmlns:x15="http://schemas.microsoft.com/office/spreadsheetml/2010/11/main" uri="{B97F6D7D-B522-45F9-BDA1-12C45D357490}">
          <x15:cacheHierarchy aggregatedColumn="12"/>
        </ext>
      </extLst>
    </cacheHierarchy>
    <cacheHierarchy uniqueName="[Measures].[Sum of Revenue 2]" caption="Sum of Revenue 2" measure="1" displayFolder="" measureGroup="tbl_HistOps" count="0" hidden="1">
      <extLst>
        <ext xmlns:x15="http://schemas.microsoft.com/office/spreadsheetml/2010/11/main" uri="{B97F6D7D-B522-45F9-BDA1-12C45D357490}">
          <x15:cacheHierarchy aggregatedColumn="25"/>
        </ext>
      </extLst>
    </cacheHierarchy>
    <cacheHierarchy uniqueName="[Measures].[Sum of Sales_Marketing]" caption="Sum of Sales_Marketing" measure="1" displayFolder="" measureGroup="tbl_HistFin" count="0" hidden="1">
      <extLst>
        <ext xmlns:x15="http://schemas.microsoft.com/office/spreadsheetml/2010/11/main" uri="{B97F6D7D-B522-45F9-BDA1-12C45D357490}">
          <x15:cacheHierarchy aggregatedColumn="4"/>
        </ext>
      </extLst>
    </cacheHierarchy>
    <cacheHierarchy uniqueName="[Measures].[Sum of R&amp;D]" caption="Sum of R&amp;D" measure="1" displayFolder="" measureGroup="tbl_HistFin" count="0" hidden="1">
      <extLst>
        <ext xmlns:x15="http://schemas.microsoft.com/office/spreadsheetml/2010/11/main" uri="{B97F6D7D-B522-45F9-BDA1-12C45D357490}">
          <x15:cacheHierarchy aggregatedColumn="5"/>
        </ext>
      </extLst>
    </cacheHierarchy>
    <cacheHierarchy uniqueName="[Measures].[Sum of G&amp;A]" caption="Sum of G&amp;A" measure="1" displayFolder="" measureGroup="tbl_HistFin" count="0" hidden="1">
      <extLst>
        <ext xmlns:x15="http://schemas.microsoft.com/office/spreadsheetml/2010/11/main" uri="{B97F6D7D-B522-45F9-BDA1-12C45D357490}">
          <x15:cacheHierarchy aggregatedColumn="6"/>
        </ext>
      </extLst>
    </cacheHierarchy>
    <cacheHierarchy uniqueName="[Measures].[Sum of Depreciation]" caption="Sum of Depreciation" measure="1" displayFolder="" measureGroup="tbl_HistFin" count="0" hidden="1">
      <extLst>
        <ext xmlns:x15="http://schemas.microsoft.com/office/spreadsheetml/2010/11/main" uri="{B97F6D7D-B522-45F9-BDA1-12C45D357490}">
          <x15:cacheHierarchy aggregatedColumn="7"/>
        </ext>
      </extLst>
    </cacheHierarchy>
    <cacheHierarchy uniqueName="[Measures].[Sum of Interest_Expense]" caption="Sum of Interest_Expense" measure="1" displayFolder="" measureGroup="tbl_HistFin" count="0" hidden="1">
      <extLst>
        <ext xmlns:x15="http://schemas.microsoft.com/office/spreadsheetml/2010/11/main" uri="{B97F6D7D-B522-45F9-BDA1-12C45D357490}">
          <x15:cacheHierarchy aggregatedColumn="9"/>
        </ext>
      </extLst>
    </cacheHierarchy>
    <cacheHierarchy uniqueName="[Measures].[Sum of DSO]" caption="Sum of DSO" measure="1" displayFolder="" measureGroup="tbl_HistFin" count="0" hidden="1">
      <extLst>
        <ext xmlns:x15="http://schemas.microsoft.com/office/spreadsheetml/2010/11/main" uri="{B97F6D7D-B522-45F9-BDA1-12C45D357490}">
          <x15:cacheHierarchy aggregatedColumn="13"/>
        </ext>
      </extLst>
    </cacheHierarchy>
    <cacheHierarchy uniqueName="[Measures].[Sum of DIO]" caption="Sum of DIO" measure="1" displayFolder="" measureGroup="tbl_HistFin" count="0" hidden="1">
      <extLst>
        <ext xmlns:x15="http://schemas.microsoft.com/office/spreadsheetml/2010/11/main" uri="{B97F6D7D-B522-45F9-BDA1-12C45D357490}">
          <x15:cacheHierarchy aggregatedColumn="14"/>
        </ext>
      </extLst>
    </cacheHierarchy>
    <cacheHierarchy uniqueName="[Measures].[Sum of DPO]" caption="Sum of DPO" measure="1" displayFolder="" measureGroup="tbl_HistFin" count="0" hidden="1">
      <extLst>
        <ext xmlns:x15="http://schemas.microsoft.com/office/spreadsheetml/2010/11/main" uri="{B97F6D7D-B522-45F9-BDA1-12C45D357490}">
          <x15:cacheHierarchy aggregatedColumn="15"/>
        </ext>
      </extLst>
    </cacheHierarchy>
    <cacheHierarchy uniqueName="[Measures].[Average of DSO]" caption="Average of DSO" measure="1" displayFolder="" measureGroup="tbl_HistFin" count="0" oneField="1" hidden="1">
      <fieldsUsage count="1">
        <fieldUsage x="2"/>
      </fieldsUsage>
      <extLst>
        <ext xmlns:x15="http://schemas.microsoft.com/office/spreadsheetml/2010/11/main" uri="{B97F6D7D-B522-45F9-BDA1-12C45D357490}">
          <x15:cacheHierarchy aggregatedColumn="13"/>
        </ext>
      </extLst>
    </cacheHierarchy>
    <cacheHierarchy uniqueName="[Measures].[Average of DIO]" caption="Average of DIO" measure="1" displayFolder="" measureGroup="tbl_HistFin" count="0" oneField="1" hidden="1">
      <fieldsUsage count="1">
        <fieldUsage x="3"/>
      </fieldsUsage>
      <extLst>
        <ext xmlns:x15="http://schemas.microsoft.com/office/spreadsheetml/2010/11/main" uri="{B97F6D7D-B522-45F9-BDA1-12C45D357490}">
          <x15:cacheHierarchy aggregatedColumn="14"/>
        </ext>
      </extLst>
    </cacheHierarchy>
    <cacheHierarchy uniqueName="[Measures].[Average of DPO]" caption="Average of DPO" measure="1" displayFolder="" measureGroup="tbl_HistFin"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COGS]" caption="Sum of COGS" measure="1" displayFolder="" measureGroup="tbl_HistOps" count="0" hidden="1">
      <extLst>
        <ext xmlns:x15="http://schemas.microsoft.com/office/spreadsheetml/2010/11/main" uri="{B97F6D7D-B522-45F9-BDA1-12C45D357490}">
          <x15:cacheHierarchy aggregatedColumn="26"/>
        </ext>
      </extLst>
    </cacheHierarchy>
    <cacheHierarchy uniqueName="[Measures].[Sum of Tax]" caption="Sum of Tax" measure="1" displayFolder="" measureGroup="tbl_HistFin" count="0" hidden="1">
      <extLst>
        <ext xmlns:x15="http://schemas.microsoft.com/office/spreadsheetml/2010/11/main" uri="{B97F6D7D-B522-45F9-BDA1-12C45D357490}">
          <x15:cacheHierarchy aggregatedColumn="11"/>
        </ext>
      </extLst>
    </cacheHierarchy>
    <cacheHierarchy uniqueName="[Measures].[Sum of Capex]" caption="Sum of Capex" measure="1" displayFolder="" measureGroup="tbl_HistFin"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tbl_HistFin" uniqueName="[tbl_HistFin]" caption="tbl_HistFin"/>
    <dimension name="tbl_HistOps" uniqueName="[tbl_HistOps]" caption="tbl_HistOps"/>
  </dimensions>
  <measureGroups count="2">
    <measureGroup name="tbl_HistFin" caption="tbl_HistFin"/>
    <measureGroup name="tbl_HistOps" caption="tbl_HistOp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hav" refreshedDate="46268.684600925924" backgroundQuery="1" createdVersion="6" refreshedVersion="6" minRefreshableVersion="3" recordCount="0" supportSubquery="1" supportAdvancedDrill="1" xr:uid="{F6B30CE0-A3AE-43CC-A5E9-80C05A0BCF72}">
  <cacheSource type="external" connectionId="3"/>
  <cacheFields count="2">
    <cacheField name="[Measures].[Sum of Revenue 2]" caption="Sum of Revenue 2" numFmtId="0" hierarchy="39" level="32767"/>
    <cacheField name="[tbl_HistOps].[Region].[Region]" caption="Region" numFmtId="0" hierarchy="22" level="1">
      <sharedItems count="4">
        <s v="East"/>
        <s v="North"/>
        <s v="South"/>
        <s v="West"/>
      </sharedItems>
    </cacheField>
  </cacheFields>
  <cacheHierarchies count="54">
    <cacheHierarchy uniqueName="[tbl_HistFin].[Month]" caption="Month" attribute="1" time="1" defaultMemberUniqueName="[tbl_HistFin].[Month].[All]" allUniqueName="[tbl_HistFin].[Month].[All]" dimensionUniqueName="[tbl_HistFin]" displayFolder="" count="0" memberValueDatatype="7" unbalanced="0"/>
    <cacheHierarchy uniqueName="[tbl_HistFin].[Revenue]" caption="Revenue" attribute="1" defaultMemberUniqueName="[tbl_HistFin].[Revenue].[All]" allUniqueName="[tbl_HistFin].[Revenue].[All]" dimensionUniqueName="[tbl_HistFin]" displayFolder="" count="0" memberValueDatatype="5" unbalanced="0"/>
    <cacheHierarchy uniqueName="[tbl_HistFin].[COGS]" caption="COGS" attribute="1" defaultMemberUniqueName="[tbl_HistFin].[COGS].[All]" allUniqueName="[tbl_HistFin].[COGS].[All]" dimensionUniqueName="[tbl_HistFin]" displayFolder="" count="0" memberValueDatatype="5" unbalanced="0"/>
    <cacheHierarchy uniqueName="[tbl_HistFin].[Gross_Profit]" caption="Gross_Profit" attribute="1" defaultMemberUniqueName="[tbl_HistFin].[Gross_Profit].[All]" allUniqueName="[tbl_HistFin].[Gross_Profit].[All]" dimensionUniqueName="[tbl_HistFin]" displayFolder="" count="0" memberValueDatatype="5" unbalanced="0"/>
    <cacheHierarchy uniqueName="[tbl_HistFin].[Sales_Marketing]" caption="Sales_Marketing" attribute="1" defaultMemberUniqueName="[tbl_HistFin].[Sales_Marketing].[All]" allUniqueName="[tbl_HistFin].[Sales_Marketing].[All]" dimensionUniqueName="[tbl_HistFin]" displayFolder="" count="0" memberValueDatatype="5" unbalanced="0"/>
    <cacheHierarchy uniqueName="[tbl_HistFin].[R&amp;D]" caption="R&amp;D" attribute="1" defaultMemberUniqueName="[tbl_HistFin].[R&amp;D].[All]" allUniqueName="[tbl_HistFin].[R&amp;D].[All]" dimensionUniqueName="[tbl_HistFin]" displayFolder="" count="0" memberValueDatatype="5" unbalanced="0"/>
    <cacheHierarchy uniqueName="[tbl_HistFin].[G&amp;A]" caption="G&amp;A" attribute="1" defaultMemberUniqueName="[tbl_HistFin].[G&amp;A].[All]" allUniqueName="[tbl_HistFin].[G&amp;A].[All]" dimensionUniqueName="[tbl_HistFin]" displayFolder="" count="0" memberValueDatatype="5" unbalanced="0"/>
    <cacheHierarchy uniqueName="[tbl_HistFin].[Depreciation]" caption="Depreciation" attribute="1" defaultMemberUniqueName="[tbl_HistFin].[Depreciation].[All]" allUniqueName="[tbl_HistFin].[Depreciation].[All]" dimensionUniqueName="[tbl_HistFin]" displayFolder="" count="0" memberValueDatatype="5" unbalanced="0"/>
    <cacheHierarchy uniqueName="[tbl_HistFin].[EBIT]" caption="EBIT" attribute="1" defaultMemberUniqueName="[tbl_HistFin].[EBIT].[All]" allUniqueName="[tbl_HistFin].[EBIT].[All]" dimensionUniqueName="[tbl_HistFin]" displayFolder="" count="0" memberValueDatatype="5" unbalanced="0"/>
    <cacheHierarchy uniqueName="[tbl_HistFin].[Interest_Expense]" caption="Interest_Expense" attribute="1" defaultMemberUniqueName="[tbl_HistFin].[Interest_Expense].[All]" allUniqueName="[tbl_HistFin].[Interest_Expense].[All]" dimensionUniqueName="[tbl_HistFin]" displayFolder="" count="0" memberValueDatatype="5" unbalanced="0"/>
    <cacheHierarchy uniqueName="[tbl_HistFin].[EBT]" caption="EBT" attribute="1" defaultMemberUniqueName="[tbl_HistFin].[EBT].[All]" allUniqueName="[tbl_HistFin].[EBT].[All]" dimensionUniqueName="[tbl_HistFin]" displayFolder="" count="0" memberValueDatatype="5" unbalanced="0"/>
    <cacheHierarchy uniqueName="[tbl_HistFin].[Tax]" caption="Tax" attribute="1" defaultMemberUniqueName="[tbl_HistFin].[Tax].[All]" allUniqueName="[tbl_HistFin].[Tax].[All]" dimensionUniqueName="[tbl_HistFin]" displayFolder="" count="0" memberValueDatatype="5" unbalanced="0"/>
    <cacheHierarchy uniqueName="[tbl_HistFin].[Net_Income]" caption="Net_Income" attribute="1" defaultMemberUniqueName="[tbl_HistFin].[Net_Income].[All]" allUniqueName="[tbl_HistFin].[Net_Income].[All]" dimensionUniqueName="[tbl_HistFin]" displayFolder="" count="0" memberValueDatatype="5" unbalanced="0"/>
    <cacheHierarchy uniqueName="[tbl_HistFin].[DSO]" caption="DSO" attribute="1" defaultMemberUniqueName="[tbl_HistFin].[DSO].[All]" allUniqueName="[tbl_HistFin].[DSO].[All]" dimensionUniqueName="[tbl_HistFin]" displayFolder="" count="0" memberValueDatatype="5" unbalanced="0"/>
    <cacheHierarchy uniqueName="[tbl_HistFin].[DIO]" caption="DIO" attribute="1" defaultMemberUniqueName="[tbl_HistFin].[DIO].[All]" allUniqueName="[tbl_HistFin].[DIO].[All]" dimensionUniqueName="[tbl_HistFin]" displayFolder="" count="0" memberValueDatatype="5" unbalanced="0"/>
    <cacheHierarchy uniqueName="[tbl_HistFin].[DPO]" caption="DPO" attribute="1" defaultMemberUniqueName="[tbl_HistFin].[DPO].[All]" allUniqueName="[tbl_HistFin].[DPO].[All]" dimensionUniqueName="[tbl_HistFin]" displayFolder="" count="0" memberValueDatatype="5" unbalanced="0"/>
    <cacheHierarchy uniqueName="[tbl_HistFin].[Capex]" caption="Capex" attribute="1" defaultMemberUniqueName="[tbl_HistFin].[Capex].[All]" allUniqueName="[tbl_HistFin].[Capex].[All]" dimensionUniqueName="[tbl_HistFin]" displayFolder="" count="0" memberValueDatatype="5" unbalanced="0"/>
    <cacheHierarchy uniqueName="[tbl_HistFin].[Month (Year)]" caption="Month (Year)" attribute="1" defaultMemberUniqueName="[tbl_HistFin].[Month (Year)].[All]" allUniqueName="[tbl_HistFin].[Month (Year)].[All]" dimensionUniqueName="[tbl_HistFin]" displayFolder="" count="0" memberValueDatatype="130" unbalanced="0"/>
    <cacheHierarchy uniqueName="[tbl_HistFin].[Month (Quarter)]" caption="Month (Quarter)" attribute="1" defaultMemberUniqueName="[tbl_HistFin].[Month (Quarter)].[All]" allUniqueName="[tbl_HistFin].[Month (Quarter)].[All]" dimensionUniqueName="[tbl_HistFin]" displayFolder="" count="0" memberValueDatatype="130" unbalanced="0"/>
    <cacheHierarchy uniqueName="[tbl_HistFin].[Month (Month)]" caption="Month (Month)" attribute="1" defaultMemberUniqueName="[tbl_HistFin].[Month (Month)].[All]" allUniqueName="[tbl_HistFin].[Month (Month)].[All]" dimensionUniqueName="[tbl_HistFin]" displayFolder="" count="0" memberValueDatatype="130" unbalanced="0"/>
    <cacheHierarchy uniqueName="[tbl_HistOps].[Month]" caption="Month" attribute="1" time="1" defaultMemberUniqueName="[tbl_HistOps].[Month].[All]" allUniqueName="[tbl_HistOps].[Month].[All]" dimensionUniqueName="[tbl_HistOps]" displayFolder="" count="0" memberValueDatatype="7" unbalanced="0"/>
    <cacheHierarchy uniqueName="[tbl_HistOps].[Segment]" caption="Segment" attribute="1" defaultMemberUniqueName="[tbl_HistOps].[Segment].[All]" allUniqueName="[tbl_HistOps].[Segment].[All]" dimensionUniqueName="[tbl_HistOps]" displayFolder="" count="0" memberValueDatatype="130" unbalanced="0"/>
    <cacheHierarchy uniqueName="[tbl_HistOps].[Region]" caption="Region" attribute="1" defaultMemberUniqueName="[tbl_HistOps].[Region].[All]" allUniqueName="[tbl_HistOps].[Region].[All]" dimensionUniqueName="[tbl_HistOps]" displayFolder="" count="2" memberValueDatatype="130" unbalanced="0">
      <fieldsUsage count="2">
        <fieldUsage x="-1"/>
        <fieldUsage x="1"/>
      </fieldsUsage>
    </cacheHierarchy>
    <cacheHierarchy uniqueName="[tbl_HistOps].[Units]" caption="Units" attribute="1" defaultMemberUniqueName="[tbl_HistOps].[Units].[All]" allUniqueName="[tbl_HistOps].[Units].[All]" dimensionUniqueName="[tbl_HistOps]" displayFolder="" count="0" memberValueDatatype="20" unbalanced="0"/>
    <cacheHierarchy uniqueName="[tbl_HistOps].[Avg_Price]" caption="Avg_Price" attribute="1" defaultMemberUniqueName="[tbl_HistOps].[Avg_Price].[All]" allUniqueName="[tbl_HistOps].[Avg_Price].[All]" dimensionUniqueName="[tbl_HistOps]" displayFolder="" count="0" memberValueDatatype="5" unbalanced="0"/>
    <cacheHierarchy uniqueName="[tbl_HistOps].[Revenue]" caption="Revenue" attribute="1" defaultMemberUniqueName="[tbl_HistOps].[Revenue].[All]" allUniqueName="[tbl_HistOps].[Revenue].[All]" dimensionUniqueName="[tbl_HistOps]" displayFolder="" count="0" memberValueDatatype="5" unbalanced="0"/>
    <cacheHierarchy uniqueName="[tbl_HistOps].[COGS]" caption="COGS" attribute="1" defaultMemberUniqueName="[tbl_HistOps].[COGS].[All]" allUniqueName="[tbl_HistOps].[COGS].[All]" dimensionUniqueName="[tbl_HistOps]" displayFolder="" count="0" memberValueDatatype="5" unbalanced="0"/>
    <cacheHierarchy uniqueName="[tbl_HistOps].[Month (Year)]" caption="Month (Year)" attribute="1" defaultMemberUniqueName="[tbl_HistOps].[Month (Year)].[All]" allUniqueName="[tbl_HistOps].[Month (Year)].[All]" dimensionUniqueName="[tbl_HistOps]" displayFolder="" count="0" memberValueDatatype="130" unbalanced="0"/>
    <cacheHierarchy uniqueName="[tbl_HistOps].[Month (Quarter)]" caption="Month (Quarter)" attribute="1" defaultMemberUniqueName="[tbl_HistOps].[Month (Quarter)].[All]" allUniqueName="[tbl_HistOps].[Month (Quarter)].[All]" dimensionUniqueName="[tbl_HistOps]" displayFolder="" count="0" memberValueDatatype="130" unbalanced="0"/>
    <cacheHierarchy uniqueName="[tbl_HistOps].[Month (Month)]" caption="Month (Month)" attribute="1" defaultMemberUniqueName="[tbl_HistOps].[Month (Month)].[All]" allUniqueName="[tbl_HistOps].[Month (Month)].[All]" dimensionUniqueName="[tbl_HistOps]" displayFolder="" count="0" memberValueDatatype="130" unbalanced="0"/>
    <cacheHierarchy uniqueName="[tbl_HistFin].[Month (Month Index)]" caption="Month (Month Index)" attribute="1" defaultMemberUniqueName="[tbl_HistFin].[Month (Month Index)].[All]" allUniqueName="[tbl_HistFin].[Month (Month Index)].[All]" dimensionUniqueName="[tbl_HistFin]" displayFolder="" count="0" memberValueDatatype="20" unbalanced="0" hidden="1"/>
    <cacheHierarchy uniqueName="[tbl_HistOps].[Month (Month Index)]" caption="Month (Month Index)" attribute="1" defaultMemberUniqueName="[tbl_HistOps].[Month (Month Index)].[All]" allUniqueName="[tbl_HistOps].[Month (Month Index)].[All]" dimensionUniqueName="[tbl_HistOps]" displayFolder="" count="0" memberValueDatatype="20" unbalanced="0" hidden="1"/>
    <cacheHierarchy uniqueName="[Measures].[__XL_Count tbl_HistOps]" caption="__XL_Count tbl_HistOps" measure="1" displayFolder="" measureGroup="tbl_HistOps" count="0" hidden="1"/>
    <cacheHierarchy uniqueName="[Measures].[__XL_Count tbl_HistFin]" caption="__XL_Count tbl_HistFin" measure="1" displayFolder="" measureGroup="tbl_HistFin" count="0" hidden="1"/>
    <cacheHierarchy uniqueName="[Measures].[__No measures defined]" caption="__No measures defined" measure="1" displayFolder="" count="0" hidden="1"/>
    <cacheHierarchy uniqueName="[Measures].[Sum of Revenue]" caption="Sum of Revenue" measure="1" displayFolder="" measureGroup="tbl_HistFin" count="0" hidden="1">
      <extLst>
        <ext xmlns:x15="http://schemas.microsoft.com/office/spreadsheetml/2010/11/main" uri="{B97F6D7D-B522-45F9-BDA1-12C45D357490}">
          <x15:cacheHierarchy aggregatedColumn="1"/>
        </ext>
      </extLst>
    </cacheHierarchy>
    <cacheHierarchy uniqueName="[Measures].[Sum of Gross_Profit]" caption="Sum of Gross_Profit" measure="1" displayFolder="" measureGroup="tbl_HistFin" count="0" hidden="1">
      <extLst>
        <ext xmlns:x15="http://schemas.microsoft.com/office/spreadsheetml/2010/11/main" uri="{B97F6D7D-B522-45F9-BDA1-12C45D357490}">
          <x15:cacheHierarchy aggregatedColumn="3"/>
        </ext>
      </extLst>
    </cacheHierarchy>
    <cacheHierarchy uniqueName="[Measures].[Sum of EBIT]" caption="Sum of EBIT" measure="1" displayFolder="" measureGroup="tbl_HistFin" count="0" hidden="1">
      <extLst>
        <ext xmlns:x15="http://schemas.microsoft.com/office/spreadsheetml/2010/11/main" uri="{B97F6D7D-B522-45F9-BDA1-12C45D357490}">
          <x15:cacheHierarchy aggregatedColumn="8"/>
        </ext>
      </extLst>
    </cacheHierarchy>
    <cacheHierarchy uniqueName="[Measures].[Sum of Net_Income]" caption="Sum of Net_Income" measure="1" displayFolder="" measureGroup="tbl_HistFin" count="0" hidden="1">
      <extLst>
        <ext xmlns:x15="http://schemas.microsoft.com/office/spreadsheetml/2010/11/main" uri="{B97F6D7D-B522-45F9-BDA1-12C45D357490}">
          <x15:cacheHierarchy aggregatedColumn="12"/>
        </ext>
      </extLst>
    </cacheHierarchy>
    <cacheHierarchy uniqueName="[Measures].[Sum of Revenue 2]" caption="Sum of Revenue 2" measure="1" displayFolder="" measureGroup="tbl_HistOp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Sales_Marketing]" caption="Sum of Sales_Marketing" measure="1" displayFolder="" measureGroup="tbl_HistFin" count="0" hidden="1">
      <extLst>
        <ext xmlns:x15="http://schemas.microsoft.com/office/spreadsheetml/2010/11/main" uri="{B97F6D7D-B522-45F9-BDA1-12C45D357490}">
          <x15:cacheHierarchy aggregatedColumn="4"/>
        </ext>
      </extLst>
    </cacheHierarchy>
    <cacheHierarchy uniqueName="[Measures].[Sum of R&amp;D]" caption="Sum of R&amp;D" measure="1" displayFolder="" measureGroup="tbl_HistFin" count="0" hidden="1">
      <extLst>
        <ext xmlns:x15="http://schemas.microsoft.com/office/spreadsheetml/2010/11/main" uri="{B97F6D7D-B522-45F9-BDA1-12C45D357490}">
          <x15:cacheHierarchy aggregatedColumn="5"/>
        </ext>
      </extLst>
    </cacheHierarchy>
    <cacheHierarchy uniqueName="[Measures].[Sum of G&amp;A]" caption="Sum of G&amp;A" measure="1" displayFolder="" measureGroup="tbl_HistFin" count="0" hidden="1">
      <extLst>
        <ext xmlns:x15="http://schemas.microsoft.com/office/spreadsheetml/2010/11/main" uri="{B97F6D7D-B522-45F9-BDA1-12C45D357490}">
          <x15:cacheHierarchy aggregatedColumn="6"/>
        </ext>
      </extLst>
    </cacheHierarchy>
    <cacheHierarchy uniqueName="[Measures].[Sum of Depreciation]" caption="Sum of Depreciation" measure="1" displayFolder="" measureGroup="tbl_HistFin" count="0" hidden="1">
      <extLst>
        <ext xmlns:x15="http://schemas.microsoft.com/office/spreadsheetml/2010/11/main" uri="{B97F6D7D-B522-45F9-BDA1-12C45D357490}">
          <x15:cacheHierarchy aggregatedColumn="7"/>
        </ext>
      </extLst>
    </cacheHierarchy>
    <cacheHierarchy uniqueName="[Measures].[Sum of Interest_Expense]" caption="Sum of Interest_Expense" measure="1" displayFolder="" measureGroup="tbl_HistFin" count="0" hidden="1">
      <extLst>
        <ext xmlns:x15="http://schemas.microsoft.com/office/spreadsheetml/2010/11/main" uri="{B97F6D7D-B522-45F9-BDA1-12C45D357490}">
          <x15:cacheHierarchy aggregatedColumn="9"/>
        </ext>
      </extLst>
    </cacheHierarchy>
    <cacheHierarchy uniqueName="[Measures].[Sum of DSO]" caption="Sum of DSO" measure="1" displayFolder="" measureGroup="tbl_HistFin" count="0" hidden="1">
      <extLst>
        <ext xmlns:x15="http://schemas.microsoft.com/office/spreadsheetml/2010/11/main" uri="{B97F6D7D-B522-45F9-BDA1-12C45D357490}">
          <x15:cacheHierarchy aggregatedColumn="13"/>
        </ext>
      </extLst>
    </cacheHierarchy>
    <cacheHierarchy uniqueName="[Measures].[Sum of DIO]" caption="Sum of DIO" measure="1" displayFolder="" measureGroup="tbl_HistFin" count="0" hidden="1">
      <extLst>
        <ext xmlns:x15="http://schemas.microsoft.com/office/spreadsheetml/2010/11/main" uri="{B97F6D7D-B522-45F9-BDA1-12C45D357490}">
          <x15:cacheHierarchy aggregatedColumn="14"/>
        </ext>
      </extLst>
    </cacheHierarchy>
    <cacheHierarchy uniqueName="[Measures].[Sum of DPO]" caption="Sum of DPO" measure="1" displayFolder="" measureGroup="tbl_HistFin" count="0" hidden="1">
      <extLst>
        <ext xmlns:x15="http://schemas.microsoft.com/office/spreadsheetml/2010/11/main" uri="{B97F6D7D-B522-45F9-BDA1-12C45D357490}">
          <x15:cacheHierarchy aggregatedColumn="15"/>
        </ext>
      </extLst>
    </cacheHierarchy>
    <cacheHierarchy uniqueName="[Measures].[Average of DSO]" caption="Average of DSO" measure="1" displayFolder="" measureGroup="tbl_HistFin" count="0" hidden="1">
      <extLst>
        <ext xmlns:x15="http://schemas.microsoft.com/office/spreadsheetml/2010/11/main" uri="{B97F6D7D-B522-45F9-BDA1-12C45D357490}">
          <x15:cacheHierarchy aggregatedColumn="13"/>
        </ext>
      </extLst>
    </cacheHierarchy>
    <cacheHierarchy uniqueName="[Measures].[Average of DIO]" caption="Average of DIO" measure="1" displayFolder="" measureGroup="tbl_HistFin" count="0" hidden="1">
      <extLst>
        <ext xmlns:x15="http://schemas.microsoft.com/office/spreadsheetml/2010/11/main" uri="{B97F6D7D-B522-45F9-BDA1-12C45D357490}">
          <x15:cacheHierarchy aggregatedColumn="14"/>
        </ext>
      </extLst>
    </cacheHierarchy>
    <cacheHierarchy uniqueName="[Measures].[Average of DPO]" caption="Average of DPO" measure="1" displayFolder="" measureGroup="tbl_HistFin"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tbl_HistOps" count="0" hidden="1">
      <extLst>
        <ext xmlns:x15="http://schemas.microsoft.com/office/spreadsheetml/2010/11/main" uri="{B97F6D7D-B522-45F9-BDA1-12C45D357490}">
          <x15:cacheHierarchy aggregatedColumn="26"/>
        </ext>
      </extLst>
    </cacheHierarchy>
    <cacheHierarchy uniqueName="[Measures].[Sum of Tax]" caption="Sum of Tax" measure="1" displayFolder="" measureGroup="tbl_HistFin" count="0" hidden="1">
      <extLst>
        <ext xmlns:x15="http://schemas.microsoft.com/office/spreadsheetml/2010/11/main" uri="{B97F6D7D-B522-45F9-BDA1-12C45D357490}">
          <x15:cacheHierarchy aggregatedColumn="11"/>
        </ext>
      </extLst>
    </cacheHierarchy>
    <cacheHierarchy uniqueName="[Measures].[Sum of Capex]" caption="Sum of Capex" measure="1" displayFolder="" measureGroup="tbl_HistFin"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tbl_HistFin" uniqueName="[tbl_HistFin]" caption="tbl_HistFin"/>
    <dimension name="tbl_HistOps" uniqueName="[tbl_HistOps]" caption="tbl_HistOps"/>
  </dimensions>
  <measureGroups count="2">
    <measureGroup name="tbl_HistFin" caption="tbl_HistFin"/>
    <measureGroup name="tbl_HistOps" caption="tbl_HistOp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hav" refreshedDate="46268.686552199077" backgroundQuery="1" createdVersion="6" refreshedVersion="6" minRefreshableVersion="3" recordCount="0" supportSubquery="1" supportAdvancedDrill="1" xr:uid="{CE8F8957-F64B-4010-99F4-67FBEBB06142}">
  <cacheSource type="external" connectionId="3"/>
  <cacheFields count="5">
    <cacheField name="[tbl_HistOps].[Segment].[Segment]" caption="Segment" numFmtId="0" hierarchy="21" level="1">
      <sharedItems count="3">
        <s v="Consumer"/>
        <s v="Enterprise"/>
        <s v="SMB"/>
      </sharedItems>
    </cacheField>
    <cacheField name="[tbl_HistOps].[Month].[Month]" caption="Month" numFmtId="0" hierarchy="20" level="1">
      <sharedItems containsSemiMixedTypes="0" containsNonDate="0" containsDate="1" containsString="0" minDate="2023-01-01T00:00:00" maxDate="2025-12-02T00:00:00" count="36">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sharedItems>
    </cacheField>
    <cacheField name="[tbl_HistOps].[Month (Year)].[Month (Year)]" caption="Month (Year)" numFmtId="0" hierarchy="27" level="1">
      <sharedItems count="1">
        <s v="2025"/>
      </sharedItems>
    </cacheField>
    <cacheField name="[Measures].[Sum of Revenue 2]" caption="Sum of Revenue 2" numFmtId="0" hierarchy="39" level="32767"/>
    <cacheField name="[Measures].[Sum of COGS]" caption="Sum of COGS" numFmtId="0" hierarchy="51" level="32767"/>
  </cacheFields>
  <cacheHierarchies count="54">
    <cacheHierarchy uniqueName="[tbl_HistFin].[Month]" caption="Month" attribute="1" time="1" defaultMemberUniqueName="[tbl_HistFin].[Month].[All]" allUniqueName="[tbl_HistFin].[Month].[All]" dimensionUniqueName="[tbl_HistFin]" displayFolder="" count="0" memberValueDatatype="7" unbalanced="0"/>
    <cacheHierarchy uniqueName="[tbl_HistFin].[Revenue]" caption="Revenue" attribute="1" defaultMemberUniqueName="[tbl_HistFin].[Revenue].[All]" allUniqueName="[tbl_HistFin].[Revenue].[All]" dimensionUniqueName="[tbl_HistFin]" displayFolder="" count="0" memberValueDatatype="5" unbalanced="0"/>
    <cacheHierarchy uniqueName="[tbl_HistFin].[COGS]" caption="COGS" attribute="1" defaultMemberUniqueName="[tbl_HistFin].[COGS].[All]" allUniqueName="[tbl_HistFin].[COGS].[All]" dimensionUniqueName="[tbl_HistFin]" displayFolder="" count="0" memberValueDatatype="5" unbalanced="0"/>
    <cacheHierarchy uniqueName="[tbl_HistFin].[Gross_Profit]" caption="Gross_Profit" attribute="1" defaultMemberUniqueName="[tbl_HistFin].[Gross_Profit].[All]" allUniqueName="[tbl_HistFin].[Gross_Profit].[All]" dimensionUniqueName="[tbl_HistFin]" displayFolder="" count="0" memberValueDatatype="5" unbalanced="0"/>
    <cacheHierarchy uniqueName="[tbl_HistFin].[Sales_Marketing]" caption="Sales_Marketing" attribute="1" defaultMemberUniqueName="[tbl_HistFin].[Sales_Marketing].[All]" allUniqueName="[tbl_HistFin].[Sales_Marketing].[All]" dimensionUniqueName="[tbl_HistFin]" displayFolder="" count="0" memberValueDatatype="5" unbalanced="0"/>
    <cacheHierarchy uniqueName="[tbl_HistFin].[R&amp;D]" caption="R&amp;D" attribute="1" defaultMemberUniqueName="[tbl_HistFin].[R&amp;D].[All]" allUniqueName="[tbl_HistFin].[R&amp;D].[All]" dimensionUniqueName="[tbl_HistFin]" displayFolder="" count="0" memberValueDatatype="5" unbalanced="0"/>
    <cacheHierarchy uniqueName="[tbl_HistFin].[G&amp;A]" caption="G&amp;A" attribute="1" defaultMemberUniqueName="[tbl_HistFin].[G&amp;A].[All]" allUniqueName="[tbl_HistFin].[G&amp;A].[All]" dimensionUniqueName="[tbl_HistFin]" displayFolder="" count="0" memberValueDatatype="5" unbalanced="0"/>
    <cacheHierarchy uniqueName="[tbl_HistFin].[Depreciation]" caption="Depreciation" attribute="1" defaultMemberUniqueName="[tbl_HistFin].[Depreciation].[All]" allUniqueName="[tbl_HistFin].[Depreciation].[All]" dimensionUniqueName="[tbl_HistFin]" displayFolder="" count="0" memberValueDatatype="5" unbalanced="0"/>
    <cacheHierarchy uniqueName="[tbl_HistFin].[EBIT]" caption="EBIT" attribute="1" defaultMemberUniqueName="[tbl_HistFin].[EBIT].[All]" allUniqueName="[tbl_HistFin].[EBIT].[All]" dimensionUniqueName="[tbl_HistFin]" displayFolder="" count="0" memberValueDatatype="5" unbalanced="0"/>
    <cacheHierarchy uniqueName="[tbl_HistFin].[Interest_Expense]" caption="Interest_Expense" attribute="1" defaultMemberUniqueName="[tbl_HistFin].[Interest_Expense].[All]" allUniqueName="[tbl_HistFin].[Interest_Expense].[All]" dimensionUniqueName="[tbl_HistFin]" displayFolder="" count="0" memberValueDatatype="5" unbalanced="0"/>
    <cacheHierarchy uniqueName="[tbl_HistFin].[EBT]" caption="EBT" attribute="1" defaultMemberUniqueName="[tbl_HistFin].[EBT].[All]" allUniqueName="[tbl_HistFin].[EBT].[All]" dimensionUniqueName="[tbl_HistFin]" displayFolder="" count="0" memberValueDatatype="5" unbalanced="0"/>
    <cacheHierarchy uniqueName="[tbl_HistFin].[Tax]" caption="Tax" attribute="1" defaultMemberUniqueName="[tbl_HistFin].[Tax].[All]" allUniqueName="[tbl_HistFin].[Tax].[All]" dimensionUniqueName="[tbl_HistFin]" displayFolder="" count="0" memberValueDatatype="5" unbalanced="0"/>
    <cacheHierarchy uniqueName="[tbl_HistFin].[Net_Income]" caption="Net_Income" attribute="1" defaultMemberUniqueName="[tbl_HistFin].[Net_Income].[All]" allUniqueName="[tbl_HistFin].[Net_Income].[All]" dimensionUniqueName="[tbl_HistFin]" displayFolder="" count="0" memberValueDatatype="5" unbalanced="0"/>
    <cacheHierarchy uniqueName="[tbl_HistFin].[DSO]" caption="DSO" attribute="1" defaultMemberUniqueName="[tbl_HistFin].[DSO].[All]" allUniqueName="[tbl_HistFin].[DSO].[All]" dimensionUniqueName="[tbl_HistFin]" displayFolder="" count="0" memberValueDatatype="5" unbalanced="0"/>
    <cacheHierarchy uniqueName="[tbl_HistFin].[DIO]" caption="DIO" attribute="1" defaultMemberUniqueName="[tbl_HistFin].[DIO].[All]" allUniqueName="[tbl_HistFin].[DIO].[All]" dimensionUniqueName="[tbl_HistFin]" displayFolder="" count="0" memberValueDatatype="5" unbalanced="0"/>
    <cacheHierarchy uniqueName="[tbl_HistFin].[DPO]" caption="DPO" attribute="1" defaultMemberUniqueName="[tbl_HistFin].[DPO].[All]" allUniqueName="[tbl_HistFin].[DPO].[All]" dimensionUniqueName="[tbl_HistFin]" displayFolder="" count="0" memberValueDatatype="5" unbalanced="0"/>
    <cacheHierarchy uniqueName="[tbl_HistFin].[Capex]" caption="Capex" attribute="1" defaultMemberUniqueName="[tbl_HistFin].[Capex].[All]" allUniqueName="[tbl_HistFin].[Capex].[All]" dimensionUniqueName="[tbl_HistFin]" displayFolder="" count="0" memberValueDatatype="5" unbalanced="0"/>
    <cacheHierarchy uniqueName="[tbl_HistFin].[Month (Year)]" caption="Month (Year)" attribute="1" defaultMemberUniqueName="[tbl_HistFin].[Month (Year)].[All]" allUniqueName="[tbl_HistFin].[Month (Year)].[All]" dimensionUniqueName="[tbl_HistFin]" displayFolder="" count="0" memberValueDatatype="130" unbalanced="0"/>
    <cacheHierarchy uniqueName="[tbl_HistFin].[Month (Quarter)]" caption="Month (Quarter)" attribute="1" defaultMemberUniqueName="[tbl_HistFin].[Month (Quarter)].[All]" allUniqueName="[tbl_HistFin].[Month (Quarter)].[All]" dimensionUniqueName="[tbl_HistFin]" displayFolder="" count="0" memberValueDatatype="130" unbalanced="0"/>
    <cacheHierarchy uniqueName="[tbl_HistFin].[Month (Month)]" caption="Month (Month)" attribute="1" defaultMemberUniqueName="[tbl_HistFin].[Month (Month)].[All]" allUniqueName="[tbl_HistFin].[Month (Month)].[All]" dimensionUniqueName="[tbl_HistFin]" displayFolder="" count="0" memberValueDatatype="130" unbalanced="0"/>
    <cacheHierarchy uniqueName="[tbl_HistOps].[Month]" caption="Month" attribute="1" time="1" defaultMemberUniqueName="[tbl_HistOps].[Month].[All]" allUniqueName="[tbl_HistOps].[Month].[All]" dimensionUniqueName="[tbl_HistOps]" displayFolder="" count="2" memberValueDatatype="7" unbalanced="0">
      <fieldsUsage count="2">
        <fieldUsage x="-1"/>
        <fieldUsage x="1"/>
      </fieldsUsage>
    </cacheHierarchy>
    <cacheHierarchy uniqueName="[tbl_HistOps].[Segment]" caption="Segment" attribute="1" defaultMemberUniqueName="[tbl_HistOps].[Segment].[All]" allUniqueName="[tbl_HistOps].[Segment].[All]" dimensionUniqueName="[tbl_HistOps]" displayFolder="" count="2" memberValueDatatype="130" unbalanced="0">
      <fieldsUsage count="2">
        <fieldUsage x="-1"/>
        <fieldUsage x="0"/>
      </fieldsUsage>
    </cacheHierarchy>
    <cacheHierarchy uniqueName="[tbl_HistOps].[Region]" caption="Region" attribute="1" defaultMemberUniqueName="[tbl_HistOps].[Region].[All]" allUniqueName="[tbl_HistOps].[Region].[All]" dimensionUniqueName="[tbl_HistOps]" displayFolder="" count="0" memberValueDatatype="130" unbalanced="0"/>
    <cacheHierarchy uniqueName="[tbl_HistOps].[Units]" caption="Units" attribute="1" defaultMemberUniqueName="[tbl_HistOps].[Units].[All]" allUniqueName="[tbl_HistOps].[Units].[All]" dimensionUniqueName="[tbl_HistOps]" displayFolder="" count="0" memberValueDatatype="20" unbalanced="0"/>
    <cacheHierarchy uniqueName="[tbl_HistOps].[Avg_Price]" caption="Avg_Price" attribute="1" defaultMemberUniqueName="[tbl_HistOps].[Avg_Price].[All]" allUniqueName="[tbl_HistOps].[Avg_Price].[All]" dimensionUniqueName="[tbl_HistOps]" displayFolder="" count="0" memberValueDatatype="5" unbalanced="0"/>
    <cacheHierarchy uniqueName="[tbl_HistOps].[Revenue]" caption="Revenue" attribute="1" defaultMemberUniqueName="[tbl_HistOps].[Revenue].[All]" allUniqueName="[tbl_HistOps].[Revenue].[All]" dimensionUniqueName="[tbl_HistOps]" displayFolder="" count="0" memberValueDatatype="5" unbalanced="0"/>
    <cacheHierarchy uniqueName="[tbl_HistOps].[COGS]" caption="COGS" attribute="1" defaultMemberUniqueName="[tbl_HistOps].[COGS].[All]" allUniqueName="[tbl_HistOps].[COGS].[All]" dimensionUniqueName="[tbl_HistOps]" displayFolder="" count="0" memberValueDatatype="5" unbalanced="0"/>
    <cacheHierarchy uniqueName="[tbl_HistOps].[Month (Year)]" caption="Month (Year)" attribute="1" defaultMemberUniqueName="[tbl_HistOps].[Month (Year)].[All]" allUniqueName="[tbl_HistOps].[Month (Year)].[All]" dimensionUniqueName="[tbl_HistOps]" displayFolder="" count="2" memberValueDatatype="130" unbalanced="0">
      <fieldsUsage count="2">
        <fieldUsage x="-1"/>
        <fieldUsage x="2"/>
      </fieldsUsage>
    </cacheHierarchy>
    <cacheHierarchy uniqueName="[tbl_HistOps].[Month (Quarter)]" caption="Month (Quarter)" attribute="1" defaultMemberUniqueName="[tbl_HistOps].[Month (Quarter)].[All]" allUniqueName="[tbl_HistOps].[Month (Quarter)].[All]" dimensionUniqueName="[tbl_HistOps]" displayFolder="" count="0" memberValueDatatype="130" unbalanced="0"/>
    <cacheHierarchy uniqueName="[tbl_HistOps].[Month (Month)]" caption="Month (Month)" attribute="1" defaultMemberUniqueName="[tbl_HistOps].[Month (Month)].[All]" allUniqueName="[tbl_HistOps].[Month (Month)].[All]" dimensionUniqueName="[tbl_HistOps]" displayFolder="" count="0" memberValueDatatype="130" unbalanced="0"/>
    <cacheHierarchy uniqueName="[tbl_HistFin].[Month (Month Index)]" caption="Month (Month Index)" attribute="1" defaultMemberUniqueName="[tbl_HistFin].[Month (Month Index)].[All]" allUniqueName="[tbl_HistFin].[Month (Month Index)].[All]" dimensionUniqueName="[tbl_HistFin]" displayFolder="" count="0" memberValueDatatype="20" unbalanced="0" hidden="1"/>
    <cacheHierarchy uniqueName="[tbl_HistOps].[Month (Month Index)]" caption="Month (Month Index)" attribute="1" defaultMemberUniqueName="[tbl_HistOps].[Month (Month Index)].[All]" allUniqueName="[tbl_HistOps].[Month (Month Index)].[All]" dimensionUniqueName="[tbl_HistOps]" displayFolder="" count="0" memberValueDatatype="20" unbalanced="0" hidden="1"/>
    <cacheHierarchy uniqueName="[Measures].[__XL_Count tbl_HistOps]" caption="__XL_Count tbl_HistOps" measure="1" displayFolder="" measureGroup="tbl_HistOps" count="0" hidden="1"/>
    <cacheHierarchy uniqueName="[Measures].[__XL_Count tbl_HistFin]" caption="__XL_Count tbl_HistFin" measure="1" displayFolder="" measureGroup="tbl_HistFin" count="0" hidden="1"/>
    <cacheHierarchy uniqueName="[Measures].[__No measures defined]" caption="__No measures defined" measure="1" displayFolder="" count="0" hidden="1"/>
    <cacheHierarchy uniqueName="[Measures].[Sum of Revenue]" caption="Sum of Revenue" measure="1" displayFolder="" measureGroup="tbl_HistFin" count="0" hidden="1">
      <extLst>
        <ext xmlns:x15="http://schemas.microsoft.com/office/spreadsheetml/2010/11/main" uri="{B97F6D7D-B522-45F9-BDA1-12C45D357490}">
          <x15:cacheHierarchy aggregatedColumn="1"/>
        </ext>
      </extLst>
    </cacheHierarchy>
    <cacheHierarchy uniqueName="[Measures].[Sum of Gross_Profit]" caption="Sum of Gross_Profit" measure="1" displayFolder="" measureGroup="tbl_HistFin" count="0" hidden="1">
      <extLst>
        <ext xmlns:x15="http://schemas.microsoft.com/office/spreadsheetml/2010/11/main" uri="{B97F6D7D-B522-45F9-BDA1-12C45D357490}">
          <x15:cacheHierarchy aggregatedColumn="3"/>
        </ext>
      </extLst>
    </cacheHierarchy>
    <cacheHierarchy uniqueName="[Measures].[Sum of EBIT]" caption="Sum of EBIT" measure="1" displayFolder="" measureGroup="tbl_HistFin" count="0" hidden="1">
      <extLst>
        <ext xmlns:x15="http://schemas.microsoft.com/office/spreadsheetml/2010/11/main" uri="{B97F6D7D-B522-45F9-BDA1-12C45D357490}">
          <x15:cacheHierarchy aggregatedColumn="8"/>
        </ext>
      </extLst>
    </cacheHierarchy>
    <cacheHierarchy uniqueName="[Measures].[Sum of Net_Income]" caption="Sum of Net_Income" measure="1" displayFolder="" measureGroup="tbl_HistFin" count="0" hidden="1">
      <extLst>
        <ext xmlns:x15="http://schemas.microsoft.com/office/spreadsheetml/2010/11/main" uri="{B97F6D7D-B522-45F9-BDA1-12C45D357490}">
          <x15:cacheHierarchy aggregatedColumn="12"/>
        </ext>
      </extLst>
    </cacheHierarchy>
    <cacheHierarchy uniqueName="[Measures].[Sum of Revenue 2]" caption="Sum of Revenue 2" measure="1" displayFolder="" measureGroup="tbl_HistOps" count="0" oneField="1" hidden="1">
      <fieldsUsage count="1">
        <fieldUsage x="3"/>
      </fieldsUsage>
      <extLst>
        <ext xmlns:x15="http://schemas.microsoft.com/office/spreadsheetml/2010/11/main" uri="{B97F6D7D-B522-45F9-BDA1-12C45D357490}">
          <x15:cacheHierarchy aggregatedColumn="25"/>
        </ext>
      </extLst>
    </cacheHierarchy>
    <cacheHierarchy uniqueName="[Measures].[Sum of Sales_Marketing]" caption="Sum of Sales_Marketing" measure="1" displayFolder="" measureGroup="tbl_HistFin" count="0" hidden="1">
      <extLst>
        <ext xmlns:x15="http://schemas.microsoft.com/office/spreadsheetml/2010/11/main" uri="{B97F6D7D-B522-45F9-BDA1-12C45D357490}">
          <x15:cacheHierarchy aggregatedColumn="4"/>
        </ext>
      </extLst>
    </cacheHierarchy>
    <cacheHierarchy uniqueName="[Measures].[Sum of R&amp;D]" caption="Sum of R&amp;D" measure="1" displayFolder="" measureGroup="tbl_HistFin" count="0" hidden="1">
      <extLst>
        <ext xmlns:x15="http://schemas.microsoft.com/office/spreadsheetml/2010/11/main" uri="{B97F6D7D-B522-45F9-BDA1-12C45D357490}">
          <x15:cacheHierarchy aggregatedColumn="5"/>
        </ext>
      </extLst>
    </cacheHierarchy>
    <cacheHierarchy uniqueName="[Measures].[Sum of G&amp;A]" caption="Sum of G&amp;A" measure="1" displayFolder="" measureGroup="tbl_HistFin" count="0" hidden="1">
      <extLst>
        <ext xmlns:x15="http://schemas.microsoft.com/office/spreadsheetml/2010/11/main" uri="{B97F6D7D-B522-45F9-BDA1-12C45D357490}">
          <x15:cacheHierarchy aggregatedColumn="6"/>
        </ext>
      </extLst>
    </cacheHierarchy>
    <cacheHierarchy uniqueName="[Measures].[Sum of Depreciation]" caption="Sum of Depreciation" measure="1" displayFolder="" measureGroup="tbl_HistFin" count="0" hidden="1">
      <extLst>
        <ext xmlns:x15="http://schemas.microsoft.com/office/spreadsheetml/2010/11/main" uri="{B97F6D7D-B522-45F9-BDA1-12C45D357490}">
          <x15:cacheHierarchy aggregatedColumn="7"/>
        </ext>
      </extLst>
    </cacheHierarchy>
    <cacheHierarchy uniqueName="[Measures].[Sum of Interest_Expense]" caption="Sum of Interest_Expense" measure="1" displayFolder="" measureGroup="tbl_HistFin" count="0" hidden="1">
      <extLst>
        <ext xmlns:x15="http://schemas.microsoft.com/office/spreadsheetml/2010/11/main" uri="{B97F6D7D-B522-45F9-BDA1-12C45D357490}">
          <x15:cacheHierarchy aggregatedColumn="9"/>
        </ext>
      </extLst>
    </cacheHierarchy>
    <cacheHierarchy uniqueName="[Measures].[Sum of DSO]" caption="Sum of DSO" measure="1" displayFolder="" measureGroup="tbl_HistFin" count="0" hidden="1">
      <extLst>
        <ext xmlns:x15="http://schemas.microsoft.com/office/spreadsheetml/2010/11/main" uri="{B97F6D7D-B522-45F9-BDA1-12C45D357490}">
          <x15:cacheHierarchy aggregatedColumn="13"/>
        </ext>
      </extLst>
    </cacheHierarchy>
    <cacheHierarchy uniqueName="[Measures].[Sum of DIO]" caption="Sum of DIO" measure="1" displayFolder="" measureGroup="tbl_HistFin" count="0" hidden="1">
      <extLst>
        <ext xmlns:x15="http://schemas.microsoft.com/office/spreadsheetml/2010/11/main" uri="{B97F6D7D-B522-45F9-BDA1-12C45D357490}">
          <x15:cacheHierarchy aggregatedColumn="14"/>
        </ext>
      </extLst>
    </cacheHierarchy>
    <cacheHierarchy uniqueName="[Measures].[Sum of DPO]" caption="Sum of DPO" measure="1" displayFolder="" measureGroup="tbl_HistFin" count="0" hidden="1">
      <extLst>
        <ext xmlns:x15="http://schemas.microsoft.com/office/spreadsheetml/2010/11/main" uri="{B97F6D7D-B522-45F9-BDA1-12C45D357490}">
          <x15:cacheHierarchy aggregatedColumn="15"/>
        </ext>
      </extLst>
    </cacheHierarchy>
    <cacheHierarchy uniqueName="[Measures].[Average of DSO]" caption="Average of DSO" measure="1" displayFolder="" measureGroup="tbl_HistFin" count="0" hidden="1">
      <extLst>
        <ext xmlns:x15="http://schemas.microsoft.com/office/spreadsheetml/2010/11/main" uri="{B97F6D7D-B522-45F9-BDA1-12C45D357490}">
          <x15:cacheHierarchy aggregatedColumn="13"/>
        </ext>
      </extLst>
    </cacheHierarchy>
    <cacheHierarchy uniqueName="[Measures].[Average of DIO]" caption="Average of DIO" measure="1" displayFolder="" measureGroup="tbl_HistFin" count="0" hidden="1">
      <extLst>
        <ext xmlns:x15="http://schemas.microsoft.com/office/spreadsheetml/2010/11/main" uri="{B97F6D7D-B522-45F9-BDA1-12C45D357490}">
          <x15:cacheHierarchy aggregatedColumn="14"/>
        </ext>
      </extLst>
    </cacheHierarchy>
    <cacheHierarchy uniqueName="[Measures].[Average of DPO]" caption="Average of DPO" measure="1" displayFolder="" measureGroup="tbl_HistFin"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tbl_HistOps" count="0" oneField="1" hidden="1">
      <fieldsUsage count="1">
        <fieldUsage x="4"/>
      </fieldsUsage>
      <extLst>
        <ext xmlns:x15="http://schemas.microsoft.com/office/spreadsheetml/2010/11/main" uri="{B97F6D7D-B522-45F9-BDA1-12C45D357490}">
          <x15:cacheHierarchy aggregatedColumn="26"/>
        </ext>
      </extLst>
    </cacheHierarchy>
    <cacheHierarchy uniqueName="[Measures].[Sum of Tax]" caption="Sum of Tax" measure="1" displayFolder="" measureGroup="tbl_HistFin" count="0" hidden="1">
      <extLst>
        <ext xmlns:x15="http://schemas.microsoft.com/office/spreadsheetml/2010/11/main" uri="{B97F6D7D-B522-45F9-BDA1-12C45D357490}">
          <x15:cacheHierarchy aggregatedColumn="11"/>
        </ext>
      </extLst>
    </cacheHierarchy>
    <cacheHierarchy uniqueName="[Measures].[Sum of Capex]" caption="Sum of Capex" measure="1" displayFolder="" measureGroup="tbl_HistFin"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tbl_HistFin" uniqueName="[tbl_HistFin]" caption="tbl_HistFin"/>
    <dimension name="tbl_HistOps" uniqueName="[tbl_HistOps]" caption="tbl_HistOps"/>
  </dimensions>
  <measureGroups count="2">
    <measureGroup name="tbl_HistFin" caption="tbl_HistFin"/>
    <measureGroup name="tbl_HistOps" caption="tbl_HistOp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hav" refreshedDate="46268.684599421293" backgroundQuery="1" createdVersion="6" refreshedVersion="6" minRefreshableVersion="3" recordCount="0" supportSubquery="1" supportAdvancedDrill="1" xr:uid="{0AB1B844-778D-4329-A414-975781DF03DB}">
  <cacheSource type="external" connectionId="3"/>
  <cacheFields count="2">
    <cacheField name="[tbl_HistOps].[Segment].[Segment]" caption="Segment" numFmtId="0" hierarchy="21" level="1">
      <sharedItems count="3">
        <s v="Consumer"/>
        <s v="Enterprise"/>
        <s v="SMB"/>
      </sharedItems>
    </cacheField>
    <cacheField name="[Measures].[Sum of Revenue 2]" caption="Sum of Revenue 2" numFmtId="0" hierarchy="39" level="32767"/>
  </cacheFields>
  <cacheHierarchies count="54">
    <cacheHierarchy uniqueName="[tbl_HistFin].[Month]" caption="Month" attribute="1" time="1" defaultMemberUniqueName="[tbl_HistFin].[Month].[All]" allUniqueName="[tbl_HistFin].[Month].[All]" dimensionUniqueName="[tbl_HistFin]" displayFolder="" count="0" memberValueDatatype="7" unbalanced="0"/>
    <cacheHierarchy uniqueName="[tbl_HistFin].[Revenue]" caption="Revenue" attribute="1" defaultMemberUniqueName="[tbl_HistFin].[Revenue].[All]" allUniqueName="[tbl_HistFin].[Revenue].[All]" dimensionUniqueName="[tbl_HistFin]" displayFolder="" count="0" memberValueDatatype="5" unbalanced="0"/>
    <cacheHierarchy uniqueName="[tbl_HistFin].[COGS]" caption="COGS" attribute="1" defaultMemberUniqueName="[tbl_HistFin].[COGS].[All]" allUniqueName="[tbl_HistFin].[COGS].[All]" dimensionUniqueName="[tbl_HistFin]" displayFolder="" count="0" memberValueDatatype="5" unbalanced="0"/>
    <cacheHierarchy uniqueName="[tbl_HistFin].[Gross_Profit]" caption="Gross_Profit" attribute="1" defaultMemberUniqueName="[tbl_HistFin].[Gross_Profit].[All]" allUniqueName="[tbl_HistFin].[Gross_Profit].[All]" dimensionUniqueName="[tbl_HistFin]" displayFolder="" count="0" memberValueDatatype="5" unbalanced="0"/>
    <cacheHierarchy uniqueName="[tbl_HistFin].[Sales_Marketing]" caption="Sales_Marketing" attribute="1" defaultMemberUniqueName="[tbl_HistFin].[Sales_Marketing].[All]" allUniqueName="[tbl_HistFin].[Sales_Marketing].[All]" dimensionUniqueName="[tbl_HistFin]" displayFolder="" count="0" memberValueDatatype="5" unbalanced="0"/>
    <cacheHierarchy uniqueName="[tbl_HistFin].[R&amp;D]" caption="R&amp;D" attribute="1" defaultMemberUniqueName="[tbl_HistFin].[R&amp;D].[All]" allUniqueName="[tbl_HistFin].[R&amp;D].[All]" dimensionUniqueName="[tbl_HistFin]" displayFolder="" count="0" memberValueDatatype="5" unbalanced="0"/>
    <cacheHierarchy uniqueName="[tbl_HistFin].[G&amp;A]" caption="G&amp;A" attribute="1" defaultMemberUniqueName="[tbl_HistFin].[G&amp;A].[All]" allUniqueName="[tbl_HistFin].[G&amp;A].[All]" dimensionUniqueName="[tbl_HistFin]" displayFolder="" count="0" memberValueDatatype="5" unbalanced="0"/>
    <cacheHierarchy uniqueName="[tbl_HistFin].[Depreciation]" caption="Depreciation" attribute="1" defaultMemberUniqueName="[tbl_HistFin].[Depreciation].[All]" allUniqueName="[tbl_HistFin].[Depreciation].[All]" dimensionUniqueName="[tbl_HistFin]" displayFolder="" count="0" memberValueDatatype="5" unbalanced="0"/>
    <cacheHierarchy uniqueName="[tbl_HistFin].[EBIT]" caption="EBIT" attribute="1" defaultMemberUniqueName="[tbl_HistFin].[EBIT].[All]" allUniqueName="[tbl_HistFin].[EBIT].[All]" dimensionUniqueName="[tbl_HistFin]" displayFolder="" count="0" memberValueDatatype="5" unbalanced="0"/>
    <cacheHierarchy uniqueName="[tbl_HistFin].[Interest_Expense]" caption="Interest_Expense" attribute="1" defaultMemberUniqueName="[tbl_HistFin].[Interest_Expense].[All]" allUniqueName="[tbl_HistFin].[Interest_Expense].[All]" dimensionUniqueName="[tbl_HistFin]" displayFolder="" count="0" memberValueDatatype="5" unbalanced="0"/>
    <cacheHierarchy uniqueName="[tbl_HistFin].[EBT]" caption="EBT" attribute="1" defaultMemberUniqueName="[tbl_HistFin].[EBT].[All]" allUniqueName="[tbl_HistFin].[EBT].[All]" dimensionUniqueName="[tbl_HistFin]" displayFolder="" count="0" memberValueDatatype="5" unbalanced="0"/>
    <cacheHierarchy uniqueName="[tbl_HistFin].[Tax]" caption="Tax" attribute="1" defaultMemberUniqueName="[tbl_HistFin].[Tax].[All]" allUniqueName="[tbl_HistFin].[Tax].[All]" dimensionUniqueName="[tbl_HistFin]" displayFolder="" count="0" memberValueDatatype="5" unbalanced="0"/>
    <cacheHierarchy uniqueName="[tbl_HistFin].[Net_Income]" caption="Net_Income" attribute="1" defaultMemberUniqueName="[tbl_HistFin].[Net_Income].[All]" allUniqueName="[tbl_HistFin].[Net_Income].[All]" dimensionUniqueName="[tbl_HistFin]" displayFolder="" count="0" memberValueDatatype="5" unbalanced="0"/>
    <cacheHierarchy uniqueName="[tbl_HistFin].[DSO]" caption="DSO" attribute="1" defaultMemberUniqueName="[tbl_HistFin].[DSO].[All]" allUniqueName="[tbl_HistFin].[DSO].[All]" dimensionUniqueName="[tbl_HistFin]" displayFolder="" count="0" memberValueDatatype="5" unbalanced="0"/>
    <cacheHierarchy uniqueName="[tbl_HistFin].[DIO]" caption="DIO" attribute="1" defaultMemberUniqueName="[tbl_HistFin].[DIO].[All]" allUniqueName="[tbl_HistFin].[DIO].[All]" dimensionUniqueName="[tbl_HistFin]" displayFolder="" count="0" memberValueDatatype="5" unbalanced="0"/>
    <cacheHierarchy uniqueName="[tbl_HistFin].[DPO]" caption="DPO" attribute="1" defaultMemberUniqueName="[tbl_HistFin].[DPO].[All]" allUniqueName="[tbl_HistFin].[DPO].[All]" dimensionUniqueName="[tbl_HistFin]" displayFolder="" count="0" memberValueDatatype="5" unbalanced="0"/>
    <cacheHierarchy uniqueName="[tbl_HistFin].[Capex]" caption="Capex" attribute="1" defaultMemberUniqueName="[tbl_HistFin].[Capex].[All]" allUniqueName="[tbl_HistFin].[Capex].[All]" dimensionUniqueName="[tbl_HistFin]" displayFolder="" count="0" memberValueDatatype="5" unbalanced="0"/>
    <cacheHierarchy uniqueName="[tbl_HistFin].[Month (Year)]" caption="Month (Year)" attribute="1" defaultMemberUniqueName="[tbl_HistFin].[Month (Year)].[All]" allUniqueName="[tbl_HistFin].[Month (Year)].[All]" dimensionUniqueName="[tbl_HistFin]" displayFolder="" count="0" memberValueDatatype="130" unbalanced="0"/>
    <cacheHierarchy uniqueName="[tbl_HistFin].[Month (Quarter)]" caption="Month (Quarter)" attribute="1" defaultMemberUniqueName="[tbl_HistFin].[Month (Quarter)].[All]" allUniqueName="[tbl_HistFin].[Month (Quarter)].[All]" dimensionUniqueName="[tbl_HistFin]" displayFolder="" count="0" memberValueDatatype="130" unbalanced="0"/>
    <cacheHierarchy uniqueName="[tbl_HistFin].[Month (Month)]" caption="Month (Month)" attribute="1" defaultMemberUniqueName="[tbl_HistFin].[Month (Month)].[All]" allUniqueName="[tbl_HistFin].[Month (Month)].[All]" dimensionUniqueName="[tbl_HistFin]" displayFolder="" count="0" memberValueDatatype="130" unbalanced="0"/>
    <cacheHierarchy uniqueName="[tbl_HistOps].[Month]" caption="Month" attribute="1" time="1" defaultMemberUniqueName="[tbl_HistOps].[Month].[All]" allUniqueName="[tbl_HistOps].[Month].[All]" dimensionUniqueName="[tbl_HistOps]" displayFolder="" count="0" memberValueDatatype="7" unbalanced="0"/>
    <cacheHierarchy uniqueName="[tbl_HistOps].[Segment]" caption="Segment" attribute="1" defaultMemberUniqueName="[tbl_HistOps].[Segment].[All]" allUniqueName="[tbl_HistOps].[Segment].[All]" dimensionUniqueName="[tbl_HistOps]" displayFolder="" count="2" memberValueDatatype="130" unbalanced="0">
      <fieldsUsage count="2">
        <fieldUsage x="-1"/>
        <fieldUsage x="0"/>
      </fieldsUsage>
    </cacheHierarchy>
    <cacheHierarchy uniqueName="[tbl_HistOps].[Region]" caption="Region" attribute="1" defaultMemberUniqueName="[tbl_HistOps].[Region].[All]" allUniqueName="[tbl_HistOps].[Region].[All]" dimensionUniqueName="[tbl_HistOps]" displayFolder="" count="0" memberValueDatatype="130" unbalanced="0"/>
    <cacheHierarchy uniqueName="[tbl_HistOps].[Units]" caption="Units" attribute="1" defaultMemberUniqueName="[tbl_HistOps].[Units].[All]" allUniqueName="[tbl_HistOps].[Units].[All]" dimensionUniqueName="[tbl_HistOps]" displayFolder="" count="0" memberValueDatatype="20" unbalanced="0"/>
    <cacheHierarchy uniqueName="[tbl_HistOps].[Avg_Price]" caption="Avg_Price" attribute="1" defaultMemberUniqueName="[tbl_HistOps].[Avg_Price].[All]" allUniqueName="[tbl_HistOps].[Avg_Price].[All]" dimensionUniqueName="[tbl_HistOps]" displayFolder="" count="0" memberValueDatatype="5" unbalanced="0"/>
    <cacheHierarchy uniqueName="[tbl_HistOps].[Revenue]" caption="Revenue" attribute="1" defaultMemberUniqueName="[tbl_HistOps].[Revenue].[All]" allUniqueName="[tbl_HistOps].[Revenue].[All]" dimensionUniqueName="[tbl_HistOps]" displayFolder="" count="0" memberValueDatatype="5" unbalanced="0"/>
    <cacheHierarchy uniqueName="[tbl_HistOps].[COGS]" caption="COGS" attribute="1" defaultMemberUniqueName="[tbl_HistOps].[COGS].[All]" allUniqueName="[tbl_HistOps].[COGS].[All]" dimensionUniqueName="[tbl_HistOps]" displayFolder="" count="0" memberValueDatatype="5" unbalanced="0"/>
    <cacheHierarchy uniqueName="[tbl_HistOps].[Month (Year)]" caption="Month (Year)" attribute="1" defaultMemberUniqueName="[tbl_HistOps].[Month (Year)].[All]" allUniqueName="[tbl_HistOps].[Month (Year)].[All]" dimensionUniqueName="[tbl_HistOps]" displayFolder="" count="0" memberValueDatatype="130" unbalanced="0"/>
    <cacheHierarchy uniqueName="[tbl_HistOps].[Month (Quarter)]" caption="Month (Quarter)" attribute="1" defaultMemberUniqueName="[tbl_HistOps].[Month (Quarter)].[All]" allUniqueName="[tbl_HistOps].[Month (Quarter)].[All]" dimensionUniqueName="[tbl_HistOps]" displayFolder="" count="0" memberValueDatatype="130" unbalanced="0"/>
    <cacheHierarchy uniqueName="[tbl_HistOps].[Month (Month)]" caption="Month (Month)" attribute="1" defaultMemberUniqueName="[tbl_HistOps].[Month (Month)].[All]" allUniqueName="[tbl_HistOps].[Month (Month)].[All]" dimensionUniqueName="[tbl_HistOps]" displayFolder="" count="0" memberValueDatatype="130" unbalanced="0"/>
    <cacheHierarchy uniqueName="[tbl_HistFin].[Month (Month Index)]" caption="Month (Month Index)" attribute="1" defaultMemberUniqueName="[tbl_HistFin].[Month (Month Index)].[All]" allUniqueName="[tbl_HistFin].[Month (Month Index)].[All]" dimensionUniqueName="[tbl_HistFin]" displayFolder="" count="0" memberValueDatatype="20" unbalanced="0" hidden="1"/>
    <cacheHierarchy uniqueName="[tbl_HistOps].[Month (Month Index)]" caption="Month (Month Index)" attribute="1" defaultMemberUniqueName="[tbl_HistOps].[Month (Month Index)].[All]" allUniqueName="[tbl_HistOps].[Month (Month Index)].[All]" dimensionUniqueName="[tbl_HistOps]" displayFolder="" count="0" memberValueDatatype="20" unbalanced="0" hidden="1"/>
    <cacheHierarchy uniqueName="[Measures].[__XL_Count tbl_HistOps]" caption="__XL_Count tbl_HistOps" measure="1" displayFolder="" measureGroup="tbl_HistOps" count="0" hidden="1"/>
    <cacheHierarchy uniqueName="[Measures].[__XL_Count tbl_HistFin]" caption="__XL_Count tbl_HistFin" measure="1" displayFolder="" measureGroup="tbl_HistFin" count="0" hidden="1"/>
    <cacheHierarchy uniqueName="[Measures].[__No measures defined]" caption="__No measures defined" measure="1" displayFolder="" count="0" hidden="1"/>
    <cacheHierarchy uniqueName="[Measures].[Sum of Revenue]" caption="Sum of Revenue" measure="1" displayFolder="" measureGroup="tbl_HistFin" count="0" hidden="1">
      <extLst>
        <ext xmlns:x15="http://schemas.microsoft.com/office/spreadsheetml/2010/11/main" uri="{B97F6D7D-B522-45F9-BDA1-12C45D357490}">
          <x15:cacheHierarchy aggregatedColumn="1"/>
        </ext>
      </extLst>
    </cacheHierarchy>
    <cacheHierarchy uniqueName="[Measures].[Sum of Gross_Profit]" caption="Sum of Gross_Profit" measure="1" displayFolder="" measureGroup="tbl_HistFin" count="0" hidden="1">
      <extLst>
        <ext xmlns:x15="http://schemas.microsoft.com/office/spreadsheetml/2010/11/main" uri="{B97F6D7D-B522-45F9-BDA1-12C45D357490}">
          <x15:cacheHierarchy aggregatedColumn="3"/>
        </ext>
      </extLst>
    </cacheHierarchy>
    <cacheHierarchy uniqueName="[Measures].[Sum of EBIT]" caption="Sum of EBIT" measure="1" displayFolder="" measureGroup="tbl_HistFin" count="0" hidden="1">
      <extLst>
        <ext xmlns:x15="http://schemas.microsoft.com/office/spreadsheetml/2010/11/main" uri="{B97F6D7D-B522-45F9-BDA1-12C45D357490}">
          <x15:cacheHierarchy aggregatedColumn="8"/>
        </ext>
      </extLst>
    </cacheHierarchy>
    <cacheHierarchy uniqueName="[Measures].[Sum of Net_Income]" caption="Sum of Net_Income" measure="1" displayFolder="" measureGroup="tbl_HistFin" count="0" hidden="1">
      <extLst>
        <ext xmlns:x15="http://schemas.microsoft.com/office/spreadsheetml/2010/11/main" uri="{B97F6D7D-B522-45F9-BDA1-12C45D357490}">
          <x15:cacheHierarchy aggregatedColumn="12"/>
        </ext>
      </extLst>
    </cacheHierarchy>
    <cacheHierarchy uniqueName="[Measures].[Sum of Revenue 2]" caption="Sum of Revenue 2" measure="1" displayFolder="" measureGroup="tbl_HistOp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Sales_Marketing]" caption="Sum of Sales_Marketing" measure="1" displayFolder="" measureGroup="tbl_HistFin" count="0" hidden="1">
      <extLst>
        <ext xmlns:x15="http://schemas.microsoft.com/office/spreadsheetml/2010/11/main" uri="{B97F6D7D-B522-45F9-BDA1-12C45D357490}">
          <x15:cacheHierarchy aggregatedColumn="4"/>
        </ext>
      </extLst>
    </cacheHierarchy>
    <cacheHierarchy uniqueName="[Measures].[Sum of R&amp;D]" caption="Sum of R&amp;D" measure="1" displayFolder="" measureGroup="tbl_HistFin" count="0" hidden="1">
      <extLst>
        <ext xmlns:x15="http://schemas.microsoft.com/office/spreadsheetml/2010/11/main" uri="{B97F6D7D-B522-45F9-BDA1-12C45D357490}">
          <x15:cacheHierarchy aggregatedColumn="5"/>
        </ext>
      </extLst>
    </cacheHierarchy>
    <cacheHierarchy uniqueName="[Measures].[Sum of G&amp;A]" caption="Sum of G&amp;A" measure="1" displayFolder="" measureGroup="tbl_HistFin" count="0" hidden="1">
      <extLst>
        <ext xmlns:x15="http://schemas.microsoft.com/office/spreadsheetml/2010/11/main" uri="{B97F6D7D-B522-45F9-BDA1-12C45D357490}">
          <x15:cacheHierarchy aggregatedColumn="6"/>
        </ext>
      </extLst>
    </cacheHierarchy>
    <cacheHierarchy uniqueName="[Measures].[Sum of Depreciation]" caption="Sum of Depreciation" measure="1" displayFolder="" measureGroup="tbl_HistFin" count="0" hidden="1">
      <extLst>
        <ext xmlns:x15="http://schemas.microsoft.com/office/spreadsheetml/2010/11/main" uri="{B97F6D7D-B522-45F9-BDA1-12C45D357490}">
          <x15:cacheHierarchy aggregatedColumn="7"/>
        </ext>
      </extLst>
    </cacheHierarchy>
    <cacheHierarchy uniqueName="[Measures].[Sum of Interest_Expense]" caption="Sum of Interest_Expense" measure="1" displayFolder="" measureGroup="tbl_HistFin" count="0" hidden="1">
      <extLst>
        <ext xmlns:x15="http://schemas.microsoft.com/office/spreadsheetml/2010/11/main" uri="{B97F6D7D-B522-45F9-BDA1-12C45D357490}">
          <x15:cacheHierarchy aggregatedColumn="9"/>
        </ext>
      </extLst>
    </cacheHierarchy>
    <cacheHierarchy uniqueName="[Measures].[Sum of DSO]" caption="Sum of DSO" measure="1" displayFolder="" measureGroup="tbl_HistFin" count="0" hidden="1">
      <extLst>
        <ext xmlns:x15="http://schemas.microsoft.com/office/spreadsheetml/2010/11/main" uri="{B97F6D7D-B522-45F9-BDA1-12C45D357490}">
          <x15:cacheHierarchy aggregatedColumn="13"/>
        </ext>
      </extLst>
    </cacheHierarchy>
    <cacheHierarchy uniqueName="[Measures].[Sum of DIO]" caption="Sum of DIO" measure="1" displayFolder="" measureGroup="tbl_HistFin" count="0" hidden="1">
      <extLst>
        <ext xmlns:x15="http://schemas.microsoft.com/office/spreadsheetml/2010/11/main" uri="{B97F6D7D-B522-45F9-BDA1-12C45D357490}">
          <x15:cacheHierarchy aggregatedColumn="14"/>
        </ext>
      </extLst>
    </cacheHierarchy>
    <cacheHierarchy uniqueName="[Measures].[Sum of DPO]" caption="Sum of DPO" measure="1" displayFolder="" measureGroup="tbl_HistFin" count="0" hidden="1">
      <extLst>
        <ext xmlns:x15="http://schemas.microsoft.com/office/spreadsheetml/2010/11/main" uri="{B97F6D7D-B522-45F9-BDA1-12C45D357490}">
          <x15:cacheHierarchy aggregatedColumn="15"/>
        </ext>
      </extLst>
    </cacheHierarchy>
    <cacheHierarchy uniqueName="[Measures].[Average of DSO]" caption="Average of DSO" measure="1" displayFolder="" measureGroup="tbl_HistFin" count="0" hidden="1">
      <extLst>
        <ext xmlns:x15="http://schemas.microsoft.com/office/spreadsheetml/2010/11/main" uri="{B97F6D7D-B522-45F9-BDA1-12C45D357490}">
          <x15:cacheHierarchy aggregatedColumn="13"/>
        </ext>
      </extLst>
    </cacheHierarchy>
    <cacheHierarchy uniqueName="[Measures].[Average of DIO]" caption="Average of DIO" measure="1" displayFolder="" measureGroup="tbl_HistFin" count="0" hidden="1">
      <extLst>
        <ext xmlns:x15="http://schemas.microsoft.com/office/spreadsheetml/2010/11/main" uri="{B97F6D7D-B522-45F9-BDA1-12C45D357490}">
          <x15:cacheHierarchy aggregatedColumn="14"/>
        </ext>
      </extLst>
    </cacheHierarchy>
    <cacheHierarchy uniqueName="[Measures].[Average of DPO]" caption="Average of DPO" measure="1" displayFolder="" measureGroup="tbl_HistFin"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tbl_HistOps" count="0" hidden="1">
      <extLst>
        <ext xmlns:x15="http://schemas.microsoft.com/office/spreadsheetml/2010/11/main" uri="{B97F6D7D-B522-45F9-BDA1-12C45D357490}">
          <x15:cacheHierarchy aggregatedColumn="26"/>
        </ext>
      </extLst>
    </cacheHierarchy>
    <cacheHierarchy uniqueName="[Measures].[Sum of Tax]" caption="Sum of Tax" measure="1" displayFolder="" measureGroup="tbl_HistFin" count="0" hidden="1">
      <extLst>
        <ext xmlns:x15="http://schemas.microsoft.com/office/spreadsheetml/2010/11/main" uri="{B97F6D7D-B522-45F9-BDA1-12C45D357490}">
          <x15:cacheHierarchy aggregatedColumn="11"/>
        </ext>
      </extLst>
    </cacheHierarchy>
    <cacheHierarchy uniqueName="[Measures].[Sum of Capex]" caption="Sum of Capex" measure="1" displayFolder="" measureGroup="tbl_HistFin"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tbl_HistFin" uniqueName="[tbl_HistFin]" caption="tbl_HistFin"/>
    <dimension name="tbl_HistOps" uniqueName="[tbl_HistOps]" caption="tbl_HistOps"/>
  </dimensions>
  <measureGroups count="2">
    <measureGroup name="tbl_HistFin" caption="tbl_HistFin"/>
    <measureGroup name="tbl_HistOps" caption="tbl_HistOp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shav" refreshedDate="46271.72549016204" backgroundQuery="1" createdVersion="6" refreshedVersion="6" minRefreshableVersion="3" recordCount="0" supportSubquery="1" supportAdvancedDrill="1" xr:uid="{F9FACBEB-DC78-4957-92BC-51311E9C7AE6}">
  <cacheSource type="external" connectionId="3"/>
  <cacheFields count="10">
    <cacheField name="[tbl_HistFin].[Month].[Month]" caption="Month" numFmtId="0" level="1">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cacheField>
    <cacheField name="[tbl_HistFin].[Month (Year)].[Month (Year)]" caption="Month (Year)" numFmtId="0" hierarchy="17" level="1">
      <sharedItems count="3">
        <s v="2023"/>
        <s v="2024"/>
        <s v="2025"/>
      </sharedItems>
    </cacheField>
    <cacheField name="[Measures].[Sum of Sales_Marketing]" caption="Sum of Sales_Marketing" numFmtId="0" hierarchy="40" level="32767"/>
    <cacheField name="[Measures].[Sum of R&amp;D]" caption="Sum of R&amp;D" numFmtId="0" hierarchy="41" level="32767"/>
    <cacheField name="[Measures].[Sum of G&amp;A]" caption="Sum of G&amp;A" numFmtId="0" hierarchy="42" level="32767"/>
    <cacheField name="[Measures].[Sum of Depreciation]" caption="Sum of Depreciation" numFmtId="0" hierarchy="43" level="32767"/>
    <cacheField name="[Measures].[Sum of Interest_Expense]" caption="Sum of Interest_Expense" numFmtId="0" hierarchy="44" level="32767"/>
    <cacheField name="[Measures].[Sum of Revenue]" caption="Sum of Revenue" numFmtId="0" hierarchy="35" level="32767"/>
    <cacheField name="[Measures].[Sum of Tax]" caption="Sum of Tax" numFmtId="0" hierarchy="52" level="32767"/>
    <cacheField name="[Measures].[Sum of Capex]" caption="Sum of Capex" numFmtId="0" hierarchy="53" level="32767"/>
  </cacheFields>
  <cacheHierarchies count="54">
    <cacheHierarchy uniqueName="[tbl_HistFin].[Month]" caption="Month" attribute="1" time="1" defaultMemberUniqueName="[tbl_HistFin].[Month].[All]" allUniqueName="[tbl_HistFin].[Month].[All]" dimensionUniqueName="[tbl_HistFin]" displayFolder="" count="2" memberValueDatatype="7" unbalanced="0">
      <fieldsUsage count="2">
        <fieldUsage x="-1"/>
        <fieldUsage x="0"/>
      </fieldsUsage>
    </cacheHierarchy>
    <cacheHierarchy uniqueName="[tbl_HistFin].[Revenue]" caption="Revenue" attribute="1" defaultMemberUniqueName="[tbl_HistFin].[Revenue].[All]" allUniqueName="[tbl_HistFin].[Revenue].[All]" dimensionUniqueName="[tbl_HistFin]" displayFolder="" count="0" memberValueDatatype="5" unbalanced="0"/>
    <cacheHierarchy uniqueName="[tbl_HistFin].[COGS]" caption="COGS" attribute="1" defaultMemberUniqueName="[tbl_HistFin].[COGS].[All]" allUniqueName="[tbl_HistFin].[COGS].[All]" dimensionUniqueName="[tbl_HistFin]" displayFolder="" count="0" memberValueDatatype="5" unbalanced="0"/>
    <cacheHierarchy uniqueName="[tbl_HistFin].[Gross_Profit]" caption="Gross_Profit" attribute="1" defaultMemberUniqueName="[tbl_HistFin].[Gross_Profit].[All]" allUniqueName="[tbl_HistFin].[Gross_Profit].[All]" dimensionUniqueName="[tbl_HistFin]" displayFolder="" count="0" memberValueDatatype="5" unbalanced="0"/>
    <cacheHierarchy uniqueName="[tbl_HistFin].[Sales_Marketing]" caption="Sales_Marketing" attribute="1" defaultMemberUniqueName="[tbl_HistFin].[Sales_Marketing].[All]" allUniqueName="[tbl_HistFin].[Sales_Marketing].[All]" dimensionUniqueName="[tbl_HistFin]" displayFolder="" count="0" memberValueDatatype="5" unbalanced="0"/>
    <cacheHierarchy uniqueName="[tbl_HistFin].[R&amp;D]" caption="R&amp;D" attribute="1" defaultMemberUniqueName="[tbl_HistFin].[R&amp;D].[All]" allUniqueName="[tbl_HistFin].[R&amp;D].[All]" dimensionUniqueName="[tbl_HistFin]" displayFolder="" count="0" memberValueDatatype="5" unbalanced="0"/>
    <cacheHierarchy uniqueName="[tbl_HistFin].[G&amp;A]" caption="G&amp;A" attribute="1" defaultMemberUniqueName="[tbl_HistFin].[G&amp;A].[All]" allUniqueName="[tbl_HistFin].[G&amp;A].[All]" dimensionUniqueName="[tbl_HistFin]" displayFolder="" count="0" memberValueDatatype="5" unbalanced="0"/>
    <cacheHierarchy uniqueName="[tbl_HistFin].[Depreciation]" caption="Depreciation" attribute="1" defaultMemberUniqueName="[tbl_HistFin].[Depreciation].[All]" allUniqueName="[tbl_HistFin].[Depreciation].[All]" dimensionUniqueName="[tbl_HistFin]" displayFolder="" count="0" memberValueDatatype="5" unbalanced="0"/>
    <cacheHierarchy uniqueName="[tbl_HistFin].[EBIT]" caption="EBIT" attribute="1" defaultMemberUniqueName="[tbl_HistFin].[EBIT].[All]" allUniqueName="[tbl_HistFin].[EBIT].[All]" dimensionUniqueName="[tbl_HistFin]" displayFolder="" count="0" memberValueDatatype="5" unbalanced="0"/>
    <cacheHierarchy uniqueName="[tbl_HistFin].[Interest_Expense]" caption="Interest_Expense" attribute="1" defaultMemberUniqueName="[tbl_HistFin].[Interest_Expense].[All]" allUniqueName="[tbl_HistFin].[Interest_Expense].[All]" dimensionUniqueName="[tbl_HistFin]" displayFolder="" count="0" memberValueDatatype="5" unbalanced="0"/>
    <cacheHierarchy uniqueName="[tbl_HistFin].[EBT]" caption="EBT" attribute="1" defaultMemberUniqueName="[tbl_HistFin].[EBT].[All]" allUniqueName="[tbl_HistFin].[EBT].[All]" dimensionUniqueName="[tbl_HistFin]" displayFolder="" count="0" memberValueDatatype="5" unbalanced="0"/>
    <cacheHierarchy uniqueName="[tbl_HistFin].[Tax]" caption="Tax" attribute="1" defaultMemberUniqueName="[tbl_HistFin].[Tax].[All]" allUniqueName="[tbl_HistFin].[Tax].[All]" dimensionUniqueName="[tbl_HistFin]" displayFolder="" count="0" memberValueDatatype="5" unbalanced="0"/>
    <cacheHierarchy uniqueName="[tbl_HistFin].[Net_Income]" caption="Net_Income" attribute="1" defaultMemberUniqueName="[tbl_HistFin].[Net_Income].[All]" allUniqueName="[tbl_HistFin].[Net_Income].[All]" dimensionUniqueName="[tbl_HistFin]" displayFolder="" count="0" memberValueDatatype="5" unbalanced="0"/>
    <cacheHierarchy uniqueName="[tbl_HistFin].[DSO]" caption="DSO" attribute="1" defaultMemberUniqueName="[tbl_HistFin].[DSO].[All]" allUniqueName="[tbl_HistFin].[DSO].[All]" dimensionUniqueName="[tbl_HistFin]" displayFolder="" count="0" memberValueDatatype="5" unbalanced="0"/>
    <cacheHierarchy uniqueName="[tbl_HistFin].[DIO]" caption="DIO" attribute="1" defaultMemberUniqueName="[tbl_HistFin].[DIO].[All]" allUniqueName="[tbl_HistFin].[DIO].[All]" dimensionUniqueName="[tbl_HistFin]" displayFolder="" count="0" memberValueDatatype="5" unbalanced="0"/>
    <cacheHierarchy uniqueName="[tbl_HistFin].[DPO]" caption="DPO" attribute="1" defaultMemberUniqueName="[tbl_HistFin].[DPO].[All]" allUniqueName="[tbl_HistFin].[DPO].[All]" dimensionUniqueName="[tbl_HistFin]" displayFolder="" count="0" memberValueDatatype="5" unbalanced="0"/>
    <cacheHierarchy uniqueName="[tbl_HistFin].[Capex]" caption="Capex" attribute="1" defaultMemberUniqueName="[tbl_HistFin].[Capex].[All]" allUniqueName="[tbl_HistFin].[Capex].[All]" dimensionUniqueName="[tbl_HistFin]" displayFolder="" count="0" memberValueDatatype="5" unbalanced="0"/>
    <cacheHierarchy uniqueName="[tbl_HistFin].[Month (Year)]" caption="Month (Year)" attribute="1" defaultMemberUniqueName="[tbl_HistFin].[Month (Year)].[All]" allUniqueName="[tbl_HistFin].[Month (Year)].[All]" dimensionUniqueName="[tbl_HistFin]" displayFolder="" count="2" memberValueDatatype="130" unbalanced="0">
      <fieldsUsage count="2">
        <fieldUsage x="-1"/>
        <fieldUsage x="1"/>
      </fieldsUsage>
    </cacheHierarchy>
    <cacheHierarchy uniqueName="[tbl_HistFin].[Month (Quarter)]" caption="Month (Quarter)" attribute="1" defaultMemberUniqueName="[tbl_HistFin].[Month (Quarter)].[All]" allUniqueName="[tbl_HistFin].[Month (Quarter)].[All]" dimensionUniqueName="[tbl_HistFin]" displayFolder="" count="0" memberValueDatatype="130" unbalanced="0"/>
    <cacheHierarchy uniqueName="[tbl_HistFin].[Month (Month)]" caption="Month (Month)" attribute="1" defaultMemberUniqueName="[tbl_HistFin].[Month (Month)].[All]" allUniqueName="[tbl_HistFin].[Month (Month)].[All]" dimensionUniqueName="[tbl_HistFin]" displayFolder="" count="0" memberValueDatatype="130" unbalanced="0"/>
    <cacheHierarchy uniqueName="[tbl_HistOps].[Month]" caption="Month" attribute="1" time="1" defaultMemberUniqueName="[tbl_HistOps].[Month].[All]" allUniqueName="[tbl_HistOps].[Month].[All]" dimensionUniqueName="[tbl_HistOps]" displayFolder="" count="0" memberValueDatatype="7" unbalanced="0"/>
    <cacheHierarchy uniqueName="[tbl_HistOps].[Segment]" caption="Segment" attribute="1" defaultMemberUniqueName="[tbl_HistOps].[Segment].[All]" allUniqueName="[tbl_HistOps].[Segment].[All]" dimensionUniqueName="[tbl_HistOps]" displayFolder="" count="0" memberValueDatatype="130" unbalanced="0"/>
    <cacheHierarchy uniqueName="[tbl_HistOps].[Region]" caption="Region" attribute="1" defaultMemberUniqueName="[tbl_HistOps].[Region].[All]" allUniqueName="[tbl_HistOps].[Region].[All]" dimensionUniqueName="[tbl_HistOps]" displayFolder="" count="0" memberValueDatatype="130" unbalanced="0"/>
    <cacheHierarchy uniqueName="[tbl_HistOps].[Units]" caption="Units" attribute="1" defaultMemberUniqueName="[tbl_HistOps].[Units].[All]" allUniqueName="[tbl_HistOps].[Units].[All]" dimensionUniqueName="[tbl_HistOps]" displayFolder="" count="0" memberValueDatatype="20" unbalanced="0"/>
    <cacheHierarchy uniqueName="[tbl_HistOps].[Avg_Price]" caption="Avg_Price" attribute="1" defaultMemberUniqueName="[tbl_HistOps].[Avg_Price].[All]" allUniqueName="[tbl_HistOps].[Avg_Price].[All]" dimensionUniqueName="[tbl_HistOps]" displayFolder="" count="0" memberValueDatatype="5" unbalanced="0"/>
    <cacheHierarchy uniqueName="[tbl_HistOps].[Revenue]" caption="Revenue" attribute="1" defaultMemberUniqueName="[tbl_HistOps].[Revenue].[All]" allUniqueName="[tbl_HistOps].[Revenue].[All]" dimensionUniqueName="[tbl_HistOps]" displayFolder="" count="0" memberValueDatatype="5" unbalanced="0"/>
    <cacheHierarchy uniqueName="[tbl_HistOps].[COGS]" caption="COGS" attribute="1" defaultMemberUniqueName="[tbl_HistOps].[COGS].[All]" allUniqueName="[tbl_HistOps].[COGS].[All]" dimensionUniqueName="[tbl_HistOps]" displayFolder="" count="0" memberValueDatatype="5" unbalanced="0"/>
    <cacheHierarchy uniqueName="[tbl_HistOps].[Month (Year)]" caption="Month (Year)" attribute="1" defaultMemberUniqueName="[tbl_HistOps].[Month (Year)].[All]" allUniqueName="[tbl_HistOps].[Month (Year)].[All]" dimensionUniqueName="[tbl_HistOps]" displayFolder="" count="0" memberValueDatatype="130" unbalanced="0"/>
    <cacheHierarchy uniqueName="[tbl_HistOps].[Month (Quarter)]" caption="Month (Quarter)" attribute="1" defaultMemberUniqueName="[tbl_HistOps].[Month (Quarter)].[All]" allUniqueName="[tbl_HistOps].[Month (Quarter)].[All]" dimensionUniqueName="[tbl_HistOps]" displayFolder="" count="0" memberValueDatatype="130" unbalanced="0"/>
    <cacheHierarchy uniqueName="[tbl_HistOps].[Month (Month)]" caption="Month (Month)" attribute="1" defaultMemberUniqueName="[tbl_HistOps].[Month (Month)].[All]" allUniqueName="[tbl_HistOps].[Month (Month)].[All]" dimensionUniqueName="[tbl_HistOps]" displayFolder="" count="0" memberValueDatatype="130" unbalanced="0"/>
    <cacheHierarchy uniqueName="[tbl_HistFin].[Month (Month Index)]" caption="Month (Month Index)" attribute="1" defaultMemberUniqueName="[tbl_HistFin].[Month (Month Index)].[All]" allUniqueName="[tbl_HistFin].[Month (Month Index)].[All]" dimensionUniqueName="[tbl_HistFin]" displayFolder="" count="0" memberValueDatatype="20" unbalanced="0" hidden="1"/>
    <cacheHierarchy uniqueName="[tbl_HistOps].[Month (Month Index)]" caption="Month (Month Index)" attribute="1" defaultMemberUniqueName="[tbl_HistOps].[Month (Month Index)].[All]" allUniqueName="[tbl_HistOps].[Month (Month Index)].[All]" dimensionUniqueName="[tbl_HistOps]" displayFolder="" count="0" memberValueDatatype="20" unbalanced="0" hidden="1"/>
    <cacheHierarchy uniqueName="[Measures].[__XL_Count tbl_HistOps]" caption="__XL_Count tbl_HistOps" measure="1" displayFolder="" measureGroup="tbl_HistOps" count="0" hidden="1"/>
    <cacheHierarchy uniqueName="[Measures].[__XL_Count tbl_HistFin]" caption="__XL_Count tbl_HistFin" measure="1" displayFolder="" measureGroup="tbl_HistFin" count="0" hidden="1"/>
    <cacheHierarchy uniqueName="[Measures].[__No measures defined]" caption="__No measures defined" measure="1" displayFolder="" count="0" hidden="1"/>
    <cacheHierarchy uniqueName="[Measures].[Sum of Revenue]" caption="Sum of Revenue" measure="1" displayFolder="" measureGroup="tbl_HistFin" count="0" oneField="1" hidden="1">
      <fieldsUsage count="1">
        <fieldUsage x="7"/>
      </fieldsUsage>
      <extLst>
        <ext xmlns:x15="http://schemas.microsoft.com/office/spreadsheetml/2010/11/main" uri="{B97F6D7D-B522-45F9-BDA1-12C45D357490}">
          <x15:cacheHierarchy aggregatedColumn="1"/>
        </ext>
      </extLst>
    </cacheHierarchy>
    <cacheHierarchy uniqueName="[Measures].[Sum of Gross_Profit]" caption="Sum of Gross_Profit" measure="1" displayFolder="" measureGroup="tbl_HistFin" count="0" hidden="1">
      <extLst>
        <ext xmlns:x15="http://schemas.microsoft.com/office/spreadsheetml/2010/11/main" uri="{B97F6D7D-B522-45F9-BDA1-12C45D357490}">
          <x15:cacheHierarchy aggregatedColumn="3"/>
        </ext>
      </extLst>
    </cacheHierarchy>
    <cacheHierarchy uniqueName="[Measures].[Sum of EBIT]" caption="Sum of EBIT" measure="1" displayFolder="" measureGroup="tbl_HistFin" count="0" hidden="1">
      <extLst>
        <ext xmlns:x15="http://schemas.microsoft.com/office/spreadsheetml/2010/11/main" uri="{B97F6D7D-B522-45F9-BDA1-12C45D357490}">
          <x15:cacheHierarchy aggregatedColumn="8"/>
        </ext>
      </extLst>
    </cacheHierarchy>
    <cacheHierarchy uniqueName="[Measures].[Sum of Net_Income]" caption="Sum of Net_Income" measure="1" displayFolder="" measureGroup="tbl_HistFin" count="0" hidden="1">
      <extLst>
        <ext xmlns:x15="http://schemas.microsoft.com/office/spreadsheetml/2010/11/main" uri="{B97F6D7D-B522-45F9-BDA1-12C45D357490}">
          <x15:cacheHierarchy aggregatedColumn="12"/>
        </ext>
      </extLst>
    </cacheHierarchy>
    <cacheHierarchy uniqueName="[Measures].[Sum of Revenue 2]" caption="Sum of Revenue 2" measure="1" displayFolder="" measureGroup="tbl_HistOps" count="0" hidden="1">
      <extLst>
        <ext xmlns:x15="http://schemas.microsoft.com/office/spreadsheetml/2010/11/main" uri="{B97F6D7D-B522-45F9-BDA1-12C45D357490}">
          <x15:cacheHierarchy aggregatedColumn="25"/>
        </ext>
      </extLst>
    </cacheHierarchy>
    <cacheHierarchy uniqueName="[Measures].[Sum of Sales_Marketing]" caption="Sum of Sales_Marketing" measure="1" displayFolder="" measureGroup="tbl_HistFin"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R&amp;D]" caption="Sum of R&amp;D" measure="1" displayFolder="" measureGroup="tbl_HistFin"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G&amp;A]" caption="Sum of G&amp;A" measure="1" displayFolder="" measureGroup="tbl_HistFin" count="0" oneField="1" hidden="1">
      <fieldsUsage count="1">
        <fieldUsage x="4"/>
      </fieldsUsage>
      <extLst>
        <ext xmlns:x15="http://schemas.microsoft.com/office/spreadsheetml/2010/11/main" uri="{B97F6D7D-B522-45F9-BDA1-12C45D357490}">
          <x15:cacheHierarchy aggregatedColumn="6"/>
        </ext>
      </extLst>
    </cacheHierarchy>
    <cacheHierarchy uniqueName="[Measures].[Sum of Depreciation]" caption="Sum of Depreciation" measure="1" displayFolder="" measureGroup="tbl_HistFin" count="0" oneField="1" hidden="1">
      <fieldsUsage count="1">
        <fieldUsage x="5"/>
      </fieldsUsage>
      <extLst>
        <ext xmlns:x15="http://schemas.microsoft.com/office/spreadsheetml/2010/11/main" uri="{B97F6D7D-B522-45F9-BDA1-12C45D357490}">
          <x15:cacheHierarchy aggregatedColumn="7"/>
        </ext>
      </extLst>
    </cacheHierarchy>
    <cacheHierarchy uniqueName="[Measures].[Sum of Interest_Expense]" caption="Sum of Interest_Expense" measure="1" displayFolder="" measureGroup="tbl_HistFin" count="0" oneField="1" hidden="1">
      <fieldsUsage count="1">
        <fieldUsage x="6"/>
      </fieldsUsage>
      <extLst>
        <ext xmlns:x15="http://schemas.microsoft.com/office/spreadsheetml/2010/11/main" uri="{B97F6D7D-B522-45F9-BDA1-12C45D357490}">
          <x15:cacheHierarchy aggregatedColumn="9"/>
        </ext>
      </extLst>
    </cacheHierarchy>
    <cacheHierarchy uniqueName="[Measures].[Sum of DSO]" caption="Sum of DSO" measure="1" displayFolder="" measureGroup="tbl_HistFin" count="0" hidden="1">
      <extLst>
        <ext xmlns:x15="http://schemas.microsoft.com/office/spreadsheetml/2010/11/main" uri="{B97F6D7D-B522-45F9-BDA1-12C45D357490}">
          <x15:cacheHierarchy aggregatedColumn="13"/>
        </ext>
      </extLst>
    </cacheHierarchy>
    <cacheHierarchy uniqueName="[Measures].[Sum of DIO]" caption="Sum of DIO" measure="1" displayFolder="" measureGroup="tbl_HistFin" count="0" hidden="1">
      <extLst>
        <ext xmlns:x15="http://schemas.microsoft.com/office/spreadsheetml/2010/11/main" uri="{B97F6D7D-B522-45F9-BDA1-12C45D357490}">
          <x15:cacheHierarchy aggregatedColumn="14"/>
        </ext>
      </extLst>
    </cacheHierarchy>
    <cacheHierarchy uniqueName="[Measures].[Sum of DPO]" caption="Sum of DPO" measure="1" displayFolder="" measureGroup="tbl_HistFin" count="0" hidden="1">
      <extLst>
        <ext xmlns:x15="http://schemas.microsoft.com/office/spreadsheetml/2010/11/main" uri="{B97F6D7D-B522-45F9-BDA1-12C45D357490}">
          <x15:cacheHierarchy aggregatedColumn="15"/>
        </ext>
      </extLst>
    </cacheHierarchy>
    <cacheHierarchy uniqueName="[Measures].[Average of DSO]" caption="Average of DSO" measure="1" displayFolder="" measureGroup="tbl_HistFin" count="0" hidden="1">
      <extLst>
        <ext xmlns:x15="http://schemas.microsoft.com/office/spreadsheetml/2010/11/main" uri="{B97F6D7D-B522-45F9-BDA1-12C45D357490}">
          <x15:cacheHierarchy aggregatedColumn="13"/>
        </ext>
      </extLst>
    </cacheHierarchy>
    <cacheHierarchy uniqueName="[Measures].[Average of DIO]" caption="Average of DIO" measure="1" displayFolder="" measureGroup="tbl_HistFin" count="0" hidden="1">
      <extLst>
        <ext xmlns:x15="http://schemas.microsoft.com/office/spreadsheetml/2010/11/main" uri="{B97F6D7D-B522-45F9-BDA1-12C45D357490}">
          <x15:cacheHierarchy aggregatedColumn="14"/>
        </ext>
      </extLst>
    </cacheHierarchy>
    <cacheHierarchy uniqueName="[Measures].[Average of DPO]" caption="Average of DPO" measure="1" displayFolder="" measureGroup="tbl_HistFin"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tbl_HistOps" count="0" hidden="1">
      <extLst>
        <ext xmlns:x15="http://schemas.microsoft.com/office/spreadsheetml/2010/11/main" uri="{B97F6D7D-B522-45F9-BDA1-12C45D357490}">
          <x15:cacheHierarchy aggregatedColumn="26"/>
        </ext>
      </extLst>
    </cacheHierarchy>
    <cacheHierarchy uniqueName="[Measures].[Sum of Tax]" caption="Sum of Tax" measure="1" displayFolder="" measureGroup="tbl_HistFin" count="0" oneField="1" hidden="1">
      <fieldsUsage count="1">
        <fieldUsage x="8"/>
      </fieldsUsage>
      <extLst>
        <ext xmlns:x15="http://schemas.microsoft.com/office/spreadsheetml/2010/11/main" uri="{B97F6D7D-B522-45F9-BDA1-12C45D357490}">
          <x15:cacheHierarchy aggregatedColumn="11"/>
        </ext>
      </extLst>
    </cacheHierarchy>
    <cacheHierarchy uniqueName="[Measures].[Sum of Capex]" caption="Sum of Capex" measure="1" displayFolder="" measureGroup="tbl_HistFin" count="0" oneField="1" hidden="1">
      <fieldsUsage count="1">
        <fieldUsage x="9"/>
      </fieldsUsage>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tbl_HistFin" uniqueName="[tbl_HistFin]" caption="tbl_HistFin"/>
    <dimension name="tbl_HistOps" uniqueName="[tbl_HistOps]" caption="tbl_HistOps"/>
  </dimensions>
  <measureGroups count="2">
    <measureGroup name="tbl_HistFin" caption="tbl_HistFin"/>
    <measureGroup name="tbl_HistOps" caption="tbl_HistOp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AC14A7-A694-4111-92BB-F49CFEFB9D7F}" name="PivotTable6"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Segment">
  <location ref="A22:B2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Revenue %" fld="1" showDataAs="percentOfTotal" baseField="0" baseItem="0" numFmtId="1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Revenu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HistO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0E48C6-1C49-4FCC-B55B-D389A66C67C1}" name="PivotTable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4:I18" firstHeaderRow="0" firstDataRow="1" firstDataCol="1"/>
  <pivotFields count="1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e="0"/>
        <item x="1" e="0"/>
        <item x="2" e="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1"/>
    <field x="0"/>
  </rowFields>
  <rowItems count="4">
    <i>
      <x/>
    </i>
    <i>
      <x v="1"/>
    </i>
    <i>
      <x v="2"/>
    </i>
    <i t="grand">
      <x/>
    </i>
  </rowItems>
  <colFields count="1">
    <field x="-2"/>
  </colFields>
  <colItems count="8">
    <i>
      <x/>
    </i>
    <i i="1">
      <x v="1"/>
    </i>
    <i i="2">
      <x v="2"/>
    </i>
    <i i="3">
      <x v="3"/>
    </i>
    <i i="4">
      <x v="4"/>
    </i>
    <i i="5">
      <x v="5"/>
    </i>
    <i i="6">
      <x v="6"/>
    </i>
    <i i="7">
      <x v="7"/>
    </i>
  </colItems>
  <dataFields count="8">
    <dataField name="Total Revenue" fld="7" baseField="1" baseItem="1" numFmtId="165"/>
    <dataField name="Total Sales_Marketing" fld="2" baseField="1" baseItem="0" numFmtId="165"/>
    <dataField name="Total R&amp;D" fld="3" baseField="1" baseItem="0" numFmtId="165"/>
    <dataField name="Total G&amp;A" fld="4" baseField="1" baseItem="0" numFmtId="165"/>
    <dataField name="Total Depriciation" fld="5" baseField="1" baseItem="0" numFmtId="165"/>
    <dataField name="Total Interest_Expense" fld="6" baseField="1" baseItem="0" numFmtId="165"/>
    <dataField name="Total Tax" fld="8" baseField="1" baseItem="0" numFmtId="165"/>
    <dataField name="Total CapEx" fld="9" baseField="1" baseItem="0" numFmtId="165"/>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caption="Total Sales_Marketing"/>
    <pivotHierarchy dragToData="1" caption="Total R&amp;D"/>
    <pivotHierarchy dragToData="1" caption="Total G&amp;A"/>
    <pivotHierarchy dragToData="1" caption="Total Depriciation"/>
    <pivotHierarchy dragToData="1" caption="Total Interest_Expense"/>
    <pivotHierarchy dragToData="1"/>
    <pivotHierarchy dragToData="1"/>
    <pivotHierarchy dragToData="1"/>
    <pivotHierarchy dragToData="1"/>
    <pivotHierarchy dragToData="1"/>
    <pivotHierarchy dragToData="1"/>
    <pivotHierarchy dragToData="1"/>
    <pivotHierarchy dragToData="1" caption="Total Tax"/>
    <pivotHierarchy dragToData="1" caption="Total CapEx"/>
  </pivotHierarchies>
  <pivotTableStyleInfo name="PivotStyleLight16" showRowHeaders="1" showColHeaders="1" showRowStripes="0" showColStripes="0" showLastColumn="1"/>
  <rowHierarchiesUsage count="2">
    <rowHierarchyUsage hierarchyUsage="17"/>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HistF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5DDBCD-77E2-45F5-8614-5A91F87F415B}"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Years/Month">
  <location ref="A6:E10"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efaultSubtotal="0">
      <items count="3">
        <item x="0" e="0"/>
        <item x="1" e="0"/>
        <item x="2" e="0"/>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1"/>
    <field x="0"/>
  </rowFields>
  <rowItems count="4">
    <i>
      <x/>
    </i>
    <i>
      <x v="1"/>
    </i>
    <i>
      <x v="2"/>
    </i>
    <i t="grand">
      <x/>
    </i>
  </rowItems>
  <colFields count="1">
    <field x="-2"/>
  </colFields>
  <colItems count="4">
    <i>
      <x/>
    </i>
    <i i="1">
      <x v="1"/>
    </i>
    <i i="2">
      <x v="2"/>
    </i>
    <i i="3">
      <x v="3"/>
    </i>
  </colItems>
  <dataFields count="4">
    <dataField name="Total Revenue" fld="2" baseField="1" baseItem="0" numFmtId="165"/>
    <dataField name="Total Gross Profit" fld="3" baseField="1" baseItem="0" numFmtId="165"/>
    <dataField name="Total EBIT" fld="5" baseField="1" baseItem="0" numFmtId="165"/>
    <dataField name="Total Net Income" fld="4" baseField="1" baseItem="0" numFmtId="165"/>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Revenue"/>
    <pivotHierarchy dragToData="1" caption="Total Gross Profit"/>
    <pivotHierarchy dragToData="1" caption="Total EBIT"/>
    <pivotHierarchy dragToData="1" caption="Total Net 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HistF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DCC764-CAA9-4D47-B3E6-0EFEAC7D91A0}" name="PivotTable14"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Years/Month">
  <location ref="G22:J26"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efaultSubtotal="0">
      <items count="3">
        <item x="0" e="0"/>
        <item x="1" e="0"/>
        <item x="2" e="0"/>
      </items>
    </pivotField>
    <pivotField dataField="1" subtotalTop="0" showAll="0" defaultSubtotal="0"/>
    <pivotField dataField="1" subtotalTop="0" showAll="0" defaultSubtotal="0"/>
    <pivotField dataField="1" subtotalTop="0" showAll="0" defaultSubtotal="0"/>
  </pivotFields>
  <rowFields count="2">
    <field x="1"/>
    <field x="0"/>
  </rowFields>
  <rowItems count="4">
    <i>
      <x/>
    </i>
    <i>
      <x v="1"/>
    </i>
    <i>
      <x v="2"/>
    </i>
    <i t="grand">
      <x/>
    </i>
  </rowItems>
  <colFields count="1">
    <field x="-2"/>
  </colFields>
  <colItems count="3">
    <i>
      <x/>
    </i>
    <i i="1">
      <x v="1"/>
    </i>
    <i i="2">
      <x v="2"/>
    </i>
  </colItems>
  <dataFields count="3">
    <dataField name="Average of DSO" fld="2" subtotal="average" baseField="1" baseItem="1" numFmtId="1"/>
    <dataField name="Average of DIO" fld="3" subtotal="average" baseField="1" baseItem="1" numFmtId="3"/>
    <dataField name="Average of DPO" fld="4" subtotal="average" baseField="1" baseItem="1" numFmtId="3"/>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Revenue"/>
    <pivotHierarchy dragToData="1" caption="Total Gross Profit"/>
    <pivotHierarchy dragToData="1" caption="Total EBIT"/>
    <pivotHierarchy dragToData="1" caption="Total Net Income"/>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SO"/>
    <pivotHierarchy dragToData="1" caption="Average of DIO"/>
    <pivotHierarchy dragToData="1" caption="Average of DPO"/>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HistF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03BA4E-58F6-4729-9E35-0325CB832731}" name="PivotTable7"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Region">
  <location ref="D22:E27"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Revenue %" fld="0" showDataAs="percentOfTotal" baseField="0" baseItem="0" numFmtId="1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Revenu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HistO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5B395C-9B19-41CF-A3F8-7C8416081D3C}" name="PivotTable2" cacheId="3"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outline="1" outlineData="1" multipleFieldFilters="0" rowHeaderCaption="Segment" colHeaderCaption="Years">
  <location ref="A30:D37" firstHeaderRow="1" firstDataRow="4" firstDataCol="1"/>
  <pivotFields count="5">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xis="axisCol" allDrilled="1" subtotalTop="0" showAll="0" dataSourceSort="1" defaultSubtotal="0">
      <items count="1">
        <item s="1" x="0" e="0"/>
      </items>
    </pivotField>
    <pivotField dataField="1" subtotalTop="0" showAll="0" defaultSubtotal="0"/>
    <pivotField dataField="1" subtotalTop="0" showAll="0" defaultSubtotal="0"/>
  </pivotFields>
  <rowFields count="1">
    <field x="0"/>
  </rowFields>
  <rowItems count="4">
    <i>
      <x/>
    </i>
    <i>
      <x v="1"/>
    </i>
    <i>
      <x v="2"/>
    </i>
    <i t="grand">
      <x/>
    </i>
  </rowItems>
  <colFields count="3">
    <field x="2"/>
    <field x="1"/>
    <field x="-2"/>
  </colFields>
  <colItems count="2">
    <i>
      <x/>
      <x v="1048832"/>
      <x/>
    </i>
    <i r="2" i="1">
      <x v="1"/>
    </i>
  </colItems>
  <dataFields count="2">
    <dataField name="Total Revenue" fld="3" baseField="0" baseItem="0" numFmtId="165"/>
    <dataField name="Total COGS" fld="4" baseField="0" baseItem="0" numFmtId="165"/>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OGS"/>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3">
    <colHierarchyUsage hierarchyUsage="27"/>
    <colHierarchyUsage hierarchyUsage="20"/>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HistOps]"/>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FD49A9-749D-480C-9C7D-602CACDC3619}" name="Table3" displayName="Table3" ref="F6:I9" totalsRowShown="0" headerRowDxfId="18" dataDxfId="17" dataCellStyle="Percent">
  <autoFilter ref="F6:I9" xr:uid="{2951DB25-EB9D-455A-B19C-B851DD65CE80}"/>
  <tableColumns count="4">
    <tableColumn id="1" xr3:uid="{725BFAC4-F37F-4FB4-A0E0-4EC9C67E5CEA}" name="Revenue Growth %">
      <calculatedColumnFormula>B7/B6 -1</calculatedColumnFormula>
    </tableColumn>
    <tableColumn id="2" xr3:uid="{026BDCA9-E805-4D8B-963C-23C084D21FAD}" name="Gross Margin%" dataDxfId="16" dataCellStyle="Percent">
      <calculatedColumnFormula>C7/B7</calculatedColumnFormula>
    </tableColumn>
    <tableColumn id="3" xr3:uid="{5B6FF272-47EA-4D6B-B376-4FC2ECFFB0A1}" name="EBIT Margin %" dataDxfId="15" dataCellStyle="Percent">
      <calculatedColumnFormula>D7/B7</calculatedColumnFormula>
    </tableColumn>
    <tableColumn id="4" xr3:uid="{017860E2-66D8-4A39-8EFE-E7EE17F10A8A}" name="Net Margin %" dataDxfId="14" dataCellStyle="Percent">
      <calculatedColumnFormula>E7/B7</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7878CF-E1F3-406E-8D9C-8A566ED156DA}" name="Table4" displayName="Table4" ref="K14:O17" totalsRowShown="0" dataDxfId="13" dataCellStyle="Percent">
  <autoFilter ref="K14:O17" xr:uid="{D7F6AD16-E065-46A8-9FEA-BB44D8C3B89C}"/>
  <tableColumns count="5">
    <tableColumn id="1" xr3:uid="{0A077511-ACDD-4B8F-A540-0737599F2204}" name="S&amp;M %" dataDxfId="12" dataCellStyle="Percent">
      <calculatedColumnFormula>C15/B15</calculatedColumnFormula>
    </tableColumn>
    <tableColumn id="2" xr3:uid="{F13B0650-5F31-4C22-BF62-3FB9B98A6DA5}" name="R&amp;D%" dataDxfId="11" dataCellStyle="Percent">
      <calculatedColumnFormula>D15/B15</calculatedColumnFormula>
    </tableColumn>
    <tableColumn id="3" xr3:uid="{402AF700-CAEF-4C8C-AED4-E17FD04B7507}" name="G&amp;A %" dataDxfId="10" dataCellStyle="Percent">
      <calculatedColumnFormula>E15/B15</calculatedColumnFormula>
    </tableColumn>
    <tableColumn id="4" xr3:uid="{9A53D557-8DDA-4D3D-B42F-CC35B10ABFB2}" name="Depriciation %" dataDxfId="9" dataCellStyle="Percent">
      <calculatedColumnFormula>F15/B15</calculatedColumnFormula>
    </tableColumn>
    <tableColumn id="5" xr3:uid="{01EB1451-831A-481E-AA86-25DAC8ABDE14}" name="Interest Expense %" dataDxfId="8" dataCellStyle="Percent">
      <calculatedColumnFormula>G15/B15</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7716CA-AD58-4391-990C-BF97C157C8B0}" name="tbl_HistOps" displayName="tbl_HistOps" ref="A1:G433" totalsRowShown="0" headerRowDxfId="7" headerRowBorderDxfId="6" tableBorderDxfId="5">
  <autoFilter ref="A1:G433" xr:uid="{00000000-0009-0000-0000-000000000000}"/>
  <tableColumns count="7">
    <tableColumn id="1" xr3:uid="{351B52D6-FF6A-456D-A5F0-C292A2D7DFB9}" name="Month" dataDxfId="4"/>
    <tableColumn id="2" xr3:uid="{D2B098BB-B505-4B20-8EEF-12B0BFA0B4B7}" name="Segment"/>
    <tableColumn id="3" xr3:uid="{8A5DEDCA-E3BE-4CCE-8EB5-2760C15FEDB4}" name="Region"/>
    <tableColumn id="4" xr3:uid="{07AF6CD7-1D48-46C7-B562-35D6E10A2716}" name="Units"/>
    <tableColumn id="5" xr3:uid="{9313DC03-9DDC-497F-8DBA-F7BD7DFF389C}" name="Avg_Price"/>
    <tableColumn id="6" xr3:uid="{87784929-EA29-42AC-B500-03C2CFCAE72D}" name="Revenue"/>
    <tableColumn id="7" xr3:uid="{053E8845-F947-4630-A0EC-6C89B967847C}" name="COGS"/>
  </tableColumns>
  <tableStyleInfo name="TableStyleMedium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3433D8-F819-44B9-BD3F-2DCE19C83999}" name="tbl_HistFin" displayName="tbl_HistFin" ref="A1:Q37" totalsRowShown="0" headerRowDxfId="3" headerRowBorderDxfId="2" tableBorderDxfId="1">
  <autoFilter ref="A1:Q37" xr:uid="{00000000-0009-0000-0000-000001000000}"/>
  <tableColumns count="17">
    <tableColumn id="1" xr3:uid="{0449D85D-22BE-48D4-A3C8-76597ED170A3}" name="Month" dataDxfId="0"/>
    <tableColumn id="2" xr3:uid="{26CB2EFD-5EAB-4261-AE22-5658E26EBC9D}" name="Revenue"/>
    <tableColumn id="3" xr3:uid="{914452A6-A376-4E9C-9F06-50BC91BDDC78}" name="COGS"/>
    <tableColumn id="4" xr3:uid="{114683C0-B971-4341-A0C2-28712757CA71}" name="Gross_Profit"/>
    <tableColumn id="5" xr3:uid="{DE563024-F264-4B3C-9391-38D9BB40DA0A}" name="Sales_Marketing"/>
    <tableColumn id="6" xr3:uid="{BAE88C66-D748-4CFB-B54D-EB068A2428FE}" name="R&amp;D"/>
    <tableColumn id="7" xr3:uid="{B923A9CB-1B95-48AF-8BE7-ABD84C749CE4}" name="G&amp;A"/>
    <tableColumn id="8" xr3:uid="{0B6CD3FA-E8F9-45CA-9E63-2EF23D2CF2CE}" name="Depreciation"/>
    <tableColumn id="9" xr3:uid="{6B312FFB-9336-42A6-9263-0DF2AC779A11}" name="EBIT"/>
    <tableColumn id="10" xr3:uid="{6BE307B0-B66B-46E9-A35A-D12244E9BCA6}" name="Interest_Expense"/>
    <tableColumn id="11" xr3:uid="{031788AF-48C5-48E1-A9A1-876A60A8D917}" name="EBT"/>
    <tableColumn id="12" xr3:uid="{F04D70A1-5B59-4C19-985D-88CD9C6BBC00}" name="Tax"/>
    <tableColumn id="13" xr3:uid="{8F4860EF-3D42-4F85-BB3D-B86541829C84}" name="Net_Income"/>
    <tableColumn id="14" xr3:uid="{7A999E9E-0AE0-4FED-8FAC-09B9EB54CE14}" name="DSO"/>
    <tableColumn id="15" xr3:uid="{C041B72D-826A-486E-A4F9-26FF38A55D9A}" name="DIO"/>
    <tableColumn id="16" xr3:uid="{F737F1A2-343E-4244-9CBA-28531B64AD20}" name="DPO"/>
    <tableColumn id="17" xr3:uid="{1446A80A-2021-4171-BDC5-3979EB96AED8}" name="Capex"/>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0E64-1DBF-46DD-98D4-55798A247E77}">
  <dimension ref="A1"/>
  <sheetViews>
    <sheetView showGridLines="0" workbookViewId="0">
      <selection activeCell="F30" sqref="F30"/>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1365-B113-417F-8FE7-3AC0294E551F}">
  <dimension ref="A1:AC6"/>
  <sheetViews>
    <sheetView showGridLines="0" workbookViewId="0">
      <selection activeCell="X2" sqref="X2:AC5"/>
    </sheetView>
  </sheetViews>
  <sheetFormatPr defaultRowHeight="15" x14ac:dyDescent="0.25"/>
  <cols>
    <col min="1" max="1" width="22" bestFit="1" customWidth="1"/>
    <col min="2" max="2" width="17" bestFit="1" customWidth="1"/>
    <col min="9" max="9" width="14.5703125" bestFit="1" customWidth="1"/>
    <col min="10" max="14" width="13.42578125" bestFit="1" customWidth="1"/>
    <col min="25" max="29" width="13.42578125" bestFit="1" customWidth="1"/>
  </cols>
  <sheetData>
    <row r="1" spans="1:29" ht="15.75" thickBot="1" x14ac:dyDescent="0.3">
      <c r="A1" s="81" t="s">
        <v>143</v>
      </c>
      <c r="B1" s="81"/>
      <c r="C1" s="65"/>
    </row>
    <row r="2" spans="1:29" ht="15.75" thickBot="1" x14ac:dyDescent="0.3">
      <c r="A2" s="68" t="s">
        <v>144</v>
      </c>
      <c r="B2" s="69">
        <f>Forecast_Model!D6</f>
        <v>567376824.40584016</v>
      </c>
      <c r="X2" s="67" t="s">
        <v>111</v>
      </c>
      <c r="Y2" s="67" t="s">
        <v>39</v>
      </c>
      <c r="Z2" s="67" t="s">
        <v>40</v>
      </c>
      <c r="AA2" s="67" t="s">
        <v>41</v>
      </c>
      <c r="AB2" s="67" t="s">
        <v>148</v>
      </c>
      <c r="AC2" s="77" t="s">
        <v>149</v>
      </c>
    </row>
    <row r="3" spans="1:29" x14ac:dyDescent="0.25">
      <c r="A3" s="70" t="s">
        <v>145</v>
      </c>
      <c r="B3" s="71">
        <f>Forecast_Model!D14</f>
        <v>0.39782810728127554</v>
      </c>
      <c r="X3" s="68" t="s">
        <v>43</v>
      </c>
      <c r="Y3" s="78">
        <f>Historical_Analysis!B15</f>
        <v>435817779.52999997</v>
      </c>
      <c r="Z3" s="78">
        <f>Historical_Analysis!B16</f>
        <v>462001028.52999997</v>
      </c>
      <c r="AA3" s="78">
        <f>Historical_Analysis!B17</f>
        <v>481836539.08999997</v>
      </c>
      <c r="AB3" s="78">
        <f>Forecast_Model!C6</f>
        <v>522804133.20720005</v>
      </c>
      <c r="AC3" s="69">
        <f>Forecast_Model!D6</f>
        <v>567376824.40584016</v>
      </c>
    </row>
    <row r="4" spans="1:29" x14ac:dyDescent="0.25">
      <c r="A4" s="72" t="s">
        <v>19</v>
      </c>
      <c r="B4" s="73">
        <f>Forecast_Model!D21</f>
        <v>88082610.858513474</v>
      </c>
      <c r="X4" s="70" t="s">
        <v>147</v>
      </c>
      <c r="Y4" s="79">
        <f>Historical_Analysis!G7</f>
        <v>0.38562214534074873</v>
      </c>
      <c r="Z4" s="79">
        <f>Historical_Analysis!G8</f>
        <v>0.38917218449076441</v>
      </c>
      <c r="AA4" s="79">
        <f>Historical_Analysis!G9</f>
        <v>0.38824151411036567</v>
      </c>
      <c r="AB4" s="79">
        <f>Forecast_Model!C14</f>
        <v>0.3977858397717885</v>
      </c>
      <c r="AC4" s="71">
        <f>Forecast_Model!D14</f>
        <v>0.39782810728127554</v>
      </c>
    </row>
    <row r="5" spans="1:29" ht="15.75" thickBot="1" x14ac:dyDescent="0.3">
      <c r="A5" s="70" t="s">
        <v>129</v>
      </c>
      <c r="B5" s="74">
        <f>Forecast_Model!D27</f>
        <v>62691907.05806762</v>
      </c>
      <c r="X5" s="75" t="s">
        <v>51</v>
      </c>
      <c r="Y5" s="80">
        <f>Historical_Analysis!I7</f>
        <v>9.6302986487022998E-2</v>
      </c>
      <c r="Z5" s="80">
        <f>Historical_Analysis!I8</f>
        <v>9.8384830994354494E-2</v>
      </c>
      <c r="AA5" s="80">
        <f>Historical_Analysis!I9</f>
        <v>9.913121704210355E-2</v>
      </c>
      <c r="AB5" s="80">
        <f>Forecast_Model!C28</f>
        <v>0.10883191204955942</v>
      </c>
      <c r="AC5" s="76">
        <f>Forecast_Model!D28</f>
        <v>0.11049430354107061</v>
      </c>
    </row>
    <row r="6" spans="1:29" ht="15.75" thickBot="1" x14ac:dyDescent="0.3">
      <c r="A6" s="75" t="s">
        <v>146</v>
      </c>
      <c r="B6" s="66">
        <f>Forecast_Model!D44</f>
        <v>114900548.7639631</v>
      </c>
    </row>
  </sheetData>
  <mergeCells count="1">
    <mergeCell ref="A1:B1"/>
  </mergeCells>
  <pageMargins left="0.7" right="0.7" top="0.75" bottom="0.75" header="0.3" footer="0.3"/>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CD3CF-396E-4F7D-AD48-ED27E2DB97A5}">
  <dimension ref="A1:D45"/>
  <sheetViews>
    <sheetView workbookViewId="0">
      <selection activeCell="D6" sqref="D6"/>
    </sheetView>
  </sheetViews>
  <sheetFormatPr defaultRowHeight="15" x14ac:dyDescent="0.25"/>
  <cols>
    <col min="1" max="1" width="27.85546875" bestFit="1" customWidth="1"/>
    <col min="2" max="4" width="15" bestFit="1" customWidth="1"/>
    <col min="7" max="7" width="25.5703125" bestFit="1" customWidth="1"/>
    <col min="8" max="8" width="16.85546875" bestFit="1" customWidth="1"/>
    <col min="9" max="9" width="13.7109375" bestFit="1" customWidth="1"/>
    <col min="10" max="10" width="13.28515625" bestFit="1" customWidth="1"/>
  </cols>
  <sheetData>
    <row r="1" spans="1:4" ht="15.75" thickBot="1" x14ac:dyDescent="0.3">
      <c r="A1" s="36" t="s">
        <v>98</v>
      </c>
      <c r="B1" s="36" t="s">
        <v>99</v>
      </c>
      <c r="C1" s="36" t="s">
        <v>100</v>
      </c>
      <c r="D1" s="36" t="s">
        <v>101</v>
      </c>
    </row>
    <row r="2" spans="1:4" x14ac:dyDescent="0.25">
      <c r="A2" s="37" t="s">
        <v>5</v>
      </c>
      <c r="B2" s="38"/>
      <c r="C2" s="38"/>
      <c r="D2" s="38"/>
    </row>
    <row r="3" spans="1:4" x14ac:dyDescent="0.25">
      <c r="A3" s="19" t="s">
        <v>102</v>
      </c>
      <c r="B3" s="28">
        <f>Historical_Analysis!B35</f>
        <v>228061615.83000001</v>
      </c>
      <c r="C3" s="34">
        <f>B3 * (1+ Assumptions!$B$3)</f>
        <v>250867777.41300005</v>
      </c>
      <c r="D3" s="34">
        <f>C3 * (1+ Assumptions!$B$3)</f>
        <v>275954555.15430009</v>
      </c>
    </row>
    <row r="4" spans="1:4" x14ac:dyDescent="0.25">
      <c r="A4" s="20" t="s">
        <v>103</v>
      </c>
      <c r="B4" s="30">
        <f>Historical_Analysis!B36</f>
        <v>146746856.93000001</v>
      </c>
      <c r="C4" s="33">
        <f>B4 * (1+ Assumptions!$B$4)</f>
        <v>158486605.4844</v>
      </c>
      <c r="D4" s="33">
        <f>C4 * (1+ Assumptions!$B$4)</f>
        <v>171165533.92315203</v>
      </c>
    </row>
    <row r="5" spans="1:4" x14ac:dyDescent="0.25">
      <c r="A5" s="19" t="s">
        <v>104</v>
      </c>
      <c r="B5" s="28">
        <f>Historical_Analysis!B34</f>
        <v>107028066.33</v>
      </c>
      <c r="C5" s="34">
        <f>B5 * (1+ Assumptions!$B$5)</f>
        <v>113449750.3098</v>
      </c>
      <c r="D5" s="34">
        <f>C5 * (1+ Assumptions!$B$5)</f>
        <v>120256735.32838801</v>
      </c>
    </row>
    <row r="6" spans="1:4" x14ac:dyDescent="0.25">
      <c r="A6" s="31" t="s">
        <v>105</v>
      </c>
      <c r="B6" s="32">
        <f>SUM(B3:B5)</f>
        <v>481836539.08999997</v>
      </c>
      <c r="C6" s="32">
        <f>SUM(C3:C5)</f>
        <v>522804133.20720005</v>
      </c>
      <c r="D6" s="32">
        <f>SUM(D3:D5)</f>
        <v>567376824.40584016</v>
      </c>
    </row>
    <row r="7" spans="1:4" x14ac:dyDescent="0.25">
      <c r="A7" s="14" t="s">
        <v>106</v>
      </c>
      <c r="B7" s="15"/>
      <c r="C7" s="15"/>
      <c r="D7" s="15"/>
    </row>
    <row r="8" spans="1:4" x14ac:dyDescent="0.25">
      <c r="A8" s="20" t="s">
        <v>76</v>
      </c>
      <c r="B8" s="33">
        <f>Historical_Analysis!C35</f>
        <v>141147040.33000001</v>
      </c>
      <c r="C8" s="33">
        <f>C3 * Assumptions!$B$7</f>
        <v>153029344.22193003</v>
      </c>
      <c r="D8" s="33">
        <f>D3 * Assumptions!$B$7</f>
        <v>168332278.64412305</v>
      </c>
    </row>
    <row r="9" spans="1:4" x14ac:dyDescent="0.25">
      <c r="A9" s="19" t="s">
        <v>77</v>
      </c>
      <c r="B9" s="34">
        <f>Historical_Analysis!C36</f>
        <v>85040729.010000005</v>
      </c>
      <c r="C9" s="34">
        <f>C4 * Assumptions!$B$8</f>
        <v>90337365.126107991</v>
      </c>
      <c r="D9" s="34">
        <f>D4 * Assumptions!$B$8</f>
        <v>97564354.336196646</v>
      </c>
    </row>
    <row r="10" spans="1:4" x14ac:dyDescent="0.25">
      <c r="A10" s="20" t="s">
        <v>78</v>
      </c>
      <c r="B10" s="33">
        <f>Historical_Analysis!C34</f>
        <v>68579822.260000005</v>
      </c>
      <c r="C10" s="33">
        <f>C5 * Assumptions!$B$9</f>
        <v>71473342.695173994</v>
      </c>
      <c r="D10" s="33">
        <f>D5 * Assumptions!$B$9</f>
        <v>75761743.256884441</v>
      </c>
    </row>
    <row r="11" spans="1:4" x14ac:dyDescent="0.25">
      <c r="A11" s="27" t="s">
        <v>107</v>
      </c>
      <c r="B11" s="29">
        <f>SUM(B8:B10)</f>
        <v>294767591.60000002</v>
      </c>
      <c r="C11" s="29">
        <f>SUM(C8:C10)</f>
        <v>314840052.043212</v>
      </c>
      <c r="D11" s="29">
        <f>SUM(D8:D10)</f>
        <v>341658376.23720413</v>
      </c>
    </row>
    <row r="12" spans="1:4" x14ac:dyDescent="0.25">
      <c r="A12" s="22" t="s">
        <v>108</v>
      </c>
      <c r="B12" s="16"/>
      <c r="C12" s="16"/>
      <c r="D12" s="16"/>
    </row>
    <row r="13" spans="1:4" x14ac:dyDescent="0.25">
      <c r="A13" s="19" t="s">
        <v>109</v>
      </c>
      <c r="B13" s="34">
        <f>B6-B11</f>
        <v>187068947.48999995</v>
      </c>
      <c r="C13" s="34">
        <f>C6-C11</f>
        <v>207964081.16398805</v>
      </c>
      <c r="D13" s="34">
        <f>D6-D11</f>
        <v>225718448.16863602</v>
      </c>
    </row>
    <row r="14" spans="1:4" ht="15.75" thickBot="1" x14ac:dyDescent="0.3">
      <c r="A14" s="24" t="s">
        <v>110</v>
      </c>
      <c r="B14" s="35">
        <f>B13/B6</f>
        <v>0.38824151411036562</v>
      </c>
      <c r="C14" s="35">
        <f>C13/C6</f>
        <v>0.3977858397717885</v>
      </c>
      <c r="D14" s="35">
        <f>D13/D6</f>
        <v>0.39782810728127554</v>
      </c>
    </row>
    <row r="15" spans="1:4" x14ac:dyDescent="0.25">
      <c r="A15" s="47" t="s">
        <v>113</v>
      </c>
      <c r="B15" s="38"/>
      <c r="C15" s="38"/>
      <c r="D15" s="38"/>
    </row>
    <row r="16" spans="1:4" x14ac:dyDescent="0.25">
      <c r="A16" s="19" t="s">
        <v>114</v>
      </c>
      <c r="B16" s="28">
        <f>Historical_Analysis!C17</f>
        <v>52223664.376485527</v>
      </c>
      <c r="C16" s="34">
        <f>C6 * Assumptions!$B$11</f>
        <v>54894433.986756004</v>
      </c>
      <c r="D16" s="34">
        <f>D6 * Assumptions!$B$11</f>
        <v>59574566.562613212</v>
      </c>
    </row>
    <row r="17" spans="1:4" x14ac:dyDescent="0.25">
      <c r="A17" s="20" t="s">
        <v>16</v>
      </c>
      <c r="B17" s="30">
        <f>Historical_Analysis!D17</f>
        <v>26162660.141384814</v>
      </c>
      <c r="C17" s="33">
        <f>C6 * Assumptions!$B$12</f>
        <v>28754227.326396003</v>
      </c>
      <c r="D17" s="33">
        <f>D6 * Assumptions!$B$12</f>
        <v>31205725.34232121</v>
      </c>
    </row>
    <row r="18" spans="1:4" x14ac:dyDescent="0.25">
      <c r="A18" s="19" t="s">
        <v>17</v>
      </c>
      <c r="B18" s="28">
        <f>Historical_Analysis!E17</f>
        <v>30526446.325102091</v>
      </c>
      <c r="C18" s="34">
        <f>C6 * Assumptions!$B$13</f>
        <v>33982268.658468008</v>
      </c>
      <c r="D18" s="34">
        <f>D6 * Assumptions!$B$13</f>
        <v>36879493.58637961</v>
      </c>
    </row>
    <row r="19" spans="1:4" x14ac:dyDescent="0.25">
      <c r="A19" s="20" t="s">
        <v>18</v>
      </c>
      <c r="B19" s="30">
        <f>Historical_Analysis!F17</f>
        <v>9976051.8188085184</v>
      </c>
      <c r="C19" s="33">
        <f>B19</f>
        <v>9976051.8188085184</v>
      </c>
      <c r="D19" s="33">
        <f>C19</f>
        <v>9976051.8188085184</v>
      </c>
    </row>
    <row r="20" spans="1:4" x14ac:dyDescent="0.25">
      <c r="A20" s="27" t="s">
        <v>115</v>
      </c>
      <c r="B20" s="41">
        <f>SUM(B16:B19)</f>
        <v>118888822.66178095</v>
      </c>
      <c r="C20" s="41">
        <f>SUM(C16:C19)</f>
        <v>127606981.79042855</v>
      </c>
      <c r="D20" s="41">
        <f>SUM(D16:D19)</f>
        <v>137635837.31012255</v>
      </c>
    </row>
    <row r="21" spans="1:4" x14ac:dyDescent="0.25">
      <c r="A21" s="22" t="s">
        <v>116</v>
      </c>
      <c r="B21" s="33">
        <f>B13-B20</f>
        <v>68180124.828218997</v>
      </c>
      <c r="C21" s="33">
        <f>C13-C20</f>
        <v>80357099.373559505</v>
      </c>
      <c r="D21" s="33">
        <f>D13-D20</f>
        <v>88082610.858513474</v>
      </c>
    </row>
    <row r="22" spans="1:4" x14ac:dyDescent="0.25">
      <c r="A22" s="19" t="s">
        <v>117</v>
      </c>
      <c r="B22" s="42">
        <f>B21/B6</f>
        <v>0.14150052828493348</v>
      </c>
      <c r="C22" s="42">
        <f>C21/C6</f>
        <v>0.1537040246422689</v>
      </c>
      <c r="D22" s="42">
        <f>D21/D6</f>
        <v>0.15524534501520049</v>
      </c>
    </row>
    <row r="23" spans="1:4" x14ac:dyDescent="0.25">
      <c r="A23" s="22" t="s">
        <v>118</v>
      </c>
      <c r="B23" s="16"/>
      <c r="C23" s="16"/>
      <c r="D23" s="16"/>
    </row>
    <row r="24" spans="1:4" x14ac:dyDescent="0.25">
      <c r="A24" s="19" t="s">
        <v>119</v>
      </c>
      <c r="B24" s="34">
        <f>Historical_Analysis!G17</f>
        <v>4493401.4477566481</v>
      </c>
      <c r="C24" s="34">
        <f>B24</f>
        <v>4493401.4477566481</v>
      </c>
      <c r="D24" s="34">
        <f>C24</f>
        <v>4493401.4477566481</v>
      </c>
    </row>
    <row r="25" spans="1:4" x14ac:dyDescent="0.25">
      <c r="A25" s="20" t="s">
        <v>120</v>
      </c>
      <c r="B25" s="33">
        <f>B21-B24</f>
        <v>63686723.380462348</v>
      </c>
      <c r="C25" s="33">
        <f>C21-C24</f>
        <v>75863697.925802857</v>
      </c>
      <c r="D25" s="33">
        <f>D21-D24</f>
        <v>83589209.410756826</v>
      </c>
    </row>
    <row r="26" spans="1:4" x14ac:dyDescent="0.25">
      <c r="A26" s="19" t="s">
        <v>22</v>
      </c>
      <c r="B26" s="34">
        <f>B25*25%</f>
        <v>15921680.845115587</v>
      </c>
      <c r="C26" s="34">
        <f>C25*25%</f>
        <v>18965924.481450714</v>
      </c>
      <c r="D26" s="34">
        <f>D25*25%</f>
        <v>20897302.352689207</v>
      </c>
    </row>
    <row r="27" spans="1:4" x14ac:dyDescent="0.25">
      <c r="A27" s="22" t="s">
        <v>122</v>
      </c>
      <c r="B27" s="43">
        <f>B25-B26</f>
        <v>47765042.535346761</v>
      </c>
      <c r="C27" s="43">
        <f>C25-C26</f>
        <v>56897773.444352143</v>
      </c>
      <c r="D27" s="43">
        <f>D25-D26</f>
        <v>62691907.05806762</v>
      </c>
    </row>
    <row r="28" spans="1:4" x14ac:dyDescent="0.25">
      <c r="A28" s="19" t="s">
        <v>51</v>
      </c>
      <c r="B28" s="10">
        <f>B27/B6</f>
        <v>9.9131217042103467E-2</v>
      </c>
      <c r="C28" s="10">
        <f>C27/C6</f>
        <v>0.10883191204955942</v>
      </c>
      <c r="D28" s="10">
        <f>D27/D6</f>
        <v>0.11049430354107061</v>
      </c>
    </row>
    <row r="29" spans="1:4" x14ac:dyDescent="0.25">
      <c r="A29" s="16"/>
      <c r="B29" s="16"/>
      <c r="C29" s="16"/>
      <c r="D29" s="16"/>
    </row>
    <row r="30" spans="1:4" x14ac:dyDescent="0.25">
      <c r="A30" s="15"/>
      <c r="B30" s="15"/>
      <c r="C30" s="15"/>
      <c r="D30" s="15"/>
    </row>
    <row r="31" spans="1:4" x14ac:dyDescent="0.25">
      <c r="A31" s="44" t="s">
        <v>123</v>
      </c>
      <c r="B31" s="44"/>
      <c r="C31" s="16"/>
      <c r="D31" s="16"/>
    </row>
    <row r="32" spans="1:4" x14ac:dyDescent="0.25">
      <c r="A32" s="19" t="s">
        <v>126</v>
      </c>
      <c r="B32" s="34">
        <f>(B6/365) * Assumptions!$B$15</f>
        <v>55444204.498027399</v>
      </c>
      <c r="C32" s="34">
        <f>(C6/365) * Assumptions!$B$15</f>
        <v>60158283.821102478</v>
      </c>
      <c r="D32" s="34">
        <f>(D6/365) * Assumptions!$B$15</f>
        <v>65287196.233000785</v>
      </c>
    </row>
    <row r="33" spans="1:4" x14ac:dyDescent="0.25">
      <c r="A33" s="20" t="s">
        <v>124</v>
      </c>
      <c r="B33" s="33">
        <f>(B11/365) * Assumptions!$B$16</f>
        <v>41994287.022465751</v>
      </c>
      <c r="C33" s="33">
        <f>(C11/365) * Assumptions!$B$16</f>
        <v>44853925.222594582</v>
      </c>
      <c r="D33" s="33">
        <f>(D11/365) * Assumptions!$B$16</f>
        <v>48674617.984478392</v>
      </c>
    </row>
    <row r="34" spans="1:4" x14ac:dyDescent="0.25">
      <c r="A34" s="19" t="s">
        <v>127</v>
      </c>
      <c r="B34" s="34">
        <f>(B11/365) * Assumptions!$B$17</f>
        <v>30688132.824109592</v>
      </c>
      <c r="C34" s="34">
        <f>(C11/365) * Assumptions!$B$17</f>
        <v>32777868.431896042</v>
      </c>
      <c r="D34" s="34">
        <f>(D11/365) * Assumptions!$B$17</f>
        <v>35569913.14250344</v>
      </c>
    </row>
    <row r="35" spans="1:4" ht="15.75" thickBot="1" x14ac:dyDescent="0.3">
      <c r="A35" s="45" t="s">
        <v>125</v>
      </c>
      <c r="B35" s="46">
        <f>B32+B33-B34</f>
        <v>66750358.696383558</v>
      </c>
      <c r="C35" s="46">
        <f t="shared" ref="C35" si="0">C32+C33-C34</f>
        <v>72234340.611801013</v>
      </c>
      <c r="D35" s="46">
        <f>D32+D33-D34</f>
        <v>78391901.074975729</v>
      </c>
    </row>
    <row r="37" spans="1:4" x14ac:dyDescent="0.25">
      <c r="A37" s="14" t="s">
        <v>128</v>
      </c>
    </row>
    <row r="38" spans="1:4" x14ac:dyDescent="0.25">
      <c r="A38" s="7" t="s">
        <v>129</v>
      </c>
      <c r="B38" s="6">
        <f>B27</f>
        <v>47765042.535346761</v>
      </c>
      <c r="C38" s="6">
        <f t="shared" ref="C38:D38" si="1">C27</f>
        <v>56897773.444352143</v>
      </c>
      <c r="D38" s="6">
        <f t="shared" si="1"/>
        <v>62691907.05806762</v>
      </c>
    </row>
    <row r="39" spans="1:4" x14ac:dyDescent="0.25">
      <c r="A39" s="7" t="s">
        <v>130</v>
      </c>
      <c r="B39" s="6">
        <f>B19</f>
        <v>9976051.8188085184</v>
      </c>
      <c r="C39" s="6">
        <f t="shared" ref="C39" si="2">C19</f>
        <v>9976051.8188085184</v>
      </c>
      <c r="D39" s="6">
        <f>D19</f>
        <v>9976051.8188085184</v>
      </c>
    </row>
    <row r="40" spans="1:4" x14ac:dyDescent="0.25">
      <c r="A40" s="7" t="s">
        <v>131</v>
      </c>
      <c r="B40" s="6">
        <v>0</v>
      </c>
      <c r="C40" s="6">
        <f>C35-B35</f>
        <v>5483981.9154174551</v>
      </c>
      <c r="D40" s="6">
        <f>D35-C35</f>
        <v>6157560.4631747156</v>
      </c>
    </row>
    <row r="41" spans="1:4" x14ac:dyDescent="0.25">
      <c r="A41" s="7" t="s">
        <v>132</v>
      </c>
      <c r="B41" s="6">
        <f>B6 * Assumptions!$B$19</f>
        <v>21682644.259049997</v>
      </c>
      <c r="C41" s="6">
        <f>C6 * Assumptions!$B$19</f>
        <v>23526185.994324002</v>
      </c>
      <c r="D41" s="6">
        <f>D6 * Assumptions!$B$19</f>
        <v>25531957.098262805</v>
      </c>
    </row>
    <row r="42" spans="1:4" x14ac:dyDescent="0.25">
      <c r="A42" s="14" t="s">
        <v>134</v>
      </c>
      <c r="B42" s="48">
        <f>B38+B39-B40-B41</f>
        <v>36058450.095105283</v>
      </c>
      <c r="C42" s="48">
        <f>C38+C39-C40-C41</f>
        <v>37863657.3534192</v>
      </c>
      <c r="D42" s="48">
        <f>D38+D39-D40-D41</f>
        <v>40978441.315438628</v>
      </c>
    </row>
    <row r="43" spans="1:4" x14ac:dyDescent="0.25">
      <c r="A43" s="7" t="s">
        <v>135</v>
      </c>
      <c r="B43" s="6">
        <v>0</v>
      </c>
      <c r="C43" s="6">
        <f>B44</f>
        <v>36058450.095105283</v>
      </c>
      <c r="D43" s="6">
        <f>C44</f>
        <v>73922107.448524475</v>
      </c>
    </row>
    <row r="44" spans="1:4" x14ac:dyDescent="0.25">
      <c r="A44" s="14" t="s">
        <v>136</v>
      </c>
      <c r="B44" s="48">
        <f>B43+B42</f>
        <v>36058450.095105283</v>
      </c>
      <c r="C44" s="48">
        <f t="shared" ref="C44:D44" si="3">C43+C42</f>
        <v>73922107.448524475</v>
      </c>
      <c r="D44" s="48">
        <f t="shared" si="3"/>
        <v>114900548.7639631</v>
      </c>
    </row>
    <row r="45" spans="1:4" x14ac:dyDescent="0.25">
      <c r="A45" s="7" t="s">
        <v>137</v>
      </c>
      <c r="B45" s="6">
        <f>Assumptions!$B$22</f>
        <v>15000000</v>
      </c>
      <c r="C45" s="6">
        <f>Assumptions!$B$22</f>
        <v>15000000</v>
      </c>
      <c r="D45" s="6">
        <f>Assumptions!$B$22</f>
        <v>15000000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EA7A0-C64F-403D-80A5-170DC00D52CC}">
  <dimension ref="A5:O37"/>
  <sheetViews>
    <sheetView topLeftCell="A4" zoomScale="85" zoomScaleNormal="85" workbookViewId="0">
      <selection activeCell="I15" sqref="I15"/>
    </sheetView>
  </sheetViews>
  <sheetFormatPr defaultRowHeight="15" x14ac:dyDescent="0.25"/>
  <cols>
    <col min="1" max="1" width="13.28515625" bestFit="1" customWidth="1"/>
    <col min="2" max="2" width="15" bestFit="1" customWidth="1"/>
    <col min="3" max="3" width="20.85546875" bestFit="1" customWidth="1"/>
    <col min="4" max="4" width="12.28515625" bestFit="1" customWidth="1"/>
    <col min="5" max="5" width="16.28515625" bestFit="1" customWidth="1"/>
    <col min="6" max="6" width="16.85546875" bestFit="1" customWidth="1"/>
    <col min="7" max="7" width="21.7109375" bestFit="1" customWidth="1"/>
    <col min="8" max="8" width="18.85546875" bestFit="1" customWidth="1"/>
    <col min="9" max="9" width="18" bestFit="1" customWidth="1"/>
    <col min="10" max="10" width="15" bestFit="1" customWidth="1"/>
    <col min="11" max="11" width="9.28515625" bestFit="1" customWidth="1"/>
    <col min="12" max="12" width="9.7109375" bestFit="1" customWidth="1"/>
    <col min="13" max="13" width="16.28515625" bestFit="1" customWidth="1"/>
    <col min="14" max="14" width="20.42578125" bestFit="1" customWidth="1"/>
    <col min="15" max="37" width="10.5703125" bestFit="1" customWidth="1"/>
    <col min="38" max="38" width="11.28515625" bestFit="1" customWidth="1"/>
  </cols>
  <sheetData>
    <row r="5" spans="1:15" x14ac:dyDescent="0.25">
      <c r="A5" s="82" t="s">
        <v>53</v>
      </c>
      <c r="B5" s="82"/>
      <c r="C5" s="82"/>
      <c r="D5" s="82"/>
      <c r="E5" s="82"/>
      <c r="F5" s="82" t="s">
        <v>72</v>
      </c>
      <c r="G5" s="82"/>
      <c r="H5" s="82"/>
      <c r="I5" s="82"/>
    </row>
    <row r="6" spans="1:15" x14ac:dyDescent="0.25">
      <c r="A6" s="4" t="s">
        <v>52</v>
      </c>
      <c r="B6" t="s">
        <v>43</v>
      </c>
      <c r="C6" t="s">
        <v>44</v>
      </c>
      <c r="D6" t="s">
        <v>45</v>
      </c>
      <c r="E6" t="s">
        <v>46</v>
      </c>
      <c r="F6" s="7" t="s">
        <v>47</v>
      </c>
      <c r="G6" s="7" t="s">
        <v>49</v>
      </c>
      <c r="H6" s="7" t="s">
        <v>50</v>
      </c>
      <c r="I6" s="7" t="s">
        <v>51</v>
      </c>
    </row>
    <row r="7" spans="1:15" x14ac:dyDescent="0.25">
      <c r="A7" s="5" t="s">
        <v>39</v>
      </c>
      <c r="B7" s="6">
        <v>435817779.52999997</v>
      </c>
      <c r="C7" s="6">
        <v>168060987.12000003</v>
      </c>
      <c r="D7" s="6">
        <v>60447262.573122278</v>
      </c>
      <c r="E7" s="6">
        <v>41970553.732881956</v>
      </c>
      <c r="F7" s="7" t="s">
        <v>48</v>
      </c>
      <c r="G7" s="9">
        <f>C7/B7</f>
        <v>0.38562214534074873</v>
      </c>
      <c r="H7" s="9">
        <f>D7/B7</f>
        <v>0.13869847769476171</v>
      </c>
      <c r="I7" s="9">
        <f>E7/B7</f>
        <v>9.6302986487022998E-2</v>
      </c>
    </row>
    <row r="8" spans="1:15" x14ac:dyDescent="0.25">
      <c r="A8" s="5" t="s">
        <v>40</v>
      </c>
      <c r="B8" s="6">
        <v>462001028.52999997</v>
      </c>
      <c r="C8" s="6">
        <v>179797949.51000005</v>
      </c>
      <c r="D8" s="6">
        <v>65298387.753189161</v>
      </c>
      <c r="E8" s="6">
        <v>45453893.111141995</v>
      </c>
      <c r="F8" s="11">
        <f>B8/B7 -1</f>
        <v>6.0078432385748171E-2</v>
      </c>
      <c r="G8" s="9">
        <f>C8/B8</f>
        <v>0.38917218449076441</v>
      </c>
      <c r="H8" s="9">
        <f t="shared" ref="H8:H9" si="0">D8/B8</f>
        <v>0.14133818697537601</v>
      </c>
      <c r="I8" s="9">
        <f t="shared" ref="I8:I9" si="1">E8/B8</f>
        <v>9.8384830994354494E-2</v>
      </c>
    </row>
    <row r="9" spans="1:15" x14ac:dyDescent="0.25">
      <c r="A9" s="5" t="s">
        <v>41</v>
      </c>
      <c r="B9" s="6">
        <v>481836539.08999997</v>
      </c>
      <c r="C9" s="6">
        <v>187068947.48999998</v>
      </c>
      <c r="D9" s="6">
        <v>68180124.828219056</v>
      </c>
      <c r="E9" s="6">
        <v>47765042.535346799</v>
      </c>
      <c r="F9" s="11">
        <f>B9/B8 -1</f>
        <v>4.2933909959276262E-2</v>
      </c>
      <c r="G9" s="9">
        <f>C9/B9</f>
        <v>0.38824151411036567</v>
      </c>
      <c r="H9" s="9">
        <f t="shared" si="0"/>
        <v>0.14150052828493359</v>
      </c>
      <c r="I9" s="9">
        <f t="shared" si="1"/>
        <v>9.913121704210355E-2</v>
      </c>
    </row>
    <row r="10" spans="1:15" x14ac:dyDescent="0.25">
      <c r="A10" s="5" t="s">
        <v>38</v>
      </c>
      <c r="B10" s="6">
        <v>1379655347.1500001</v>
      </c>
      <c r="C10" s="6">
        <v>534927884.12</v>
      </c>
      <c r="D10" s="6">
        <v>193925775.15453053</v>
      </c>
      <c r="E10" s="6">
        <v>135189489.37937075</v>
      </c>
    </row>
    <row r="13" spans="1:15" x14ac:dyDescent="0.25">
      <c r="A13" s="82" t="s">
        <v>59</v>
      </c>
      <c r="B13" s="82"/>
      <c r="C13" s="82"/>
      <c r="D13" s="82"/>
      <c r="E13" s="82"/>
      <c r="F13" s="82"/>
      <c r="G13" s="82"/>
      <c r="K13" s="82" t="s">
        <v>64</v>
      </c>
      <c r="L13" s="82"/>
      <c r="M13" s="82"/>
      <c r="N13" s="82"/>
      <c r="O13" s="82"/>
    </row>
    <row r="14" spans="1:15" x14ac:dyDescent="0.25">
      <c r="A14" s="4" t="s">
        <v>42</v>
      </c>
      <c r="B14" t="s">
        <v>43</v>
      </c>
      <c r="C14" t="s">
        <v>54</v>
      </c>
      <c r="D14" t="s">
        <v>55</v>
      </c>
      <c r="E14" t="s">
        <v>56</v>
      </c>
      <c r="F14" t="s">
        <v>57</v>
      </c>
      <c r="G14" t="s">
        <v>58</v>
      </c>
      <c r="H14" t="s">
        <v>121</v>
      </c>
      <c r="I14" t="s">
        <v>133</v>
      </c>
      <c r="K14" t="s">
        <v>60</v>
      </c>
      <c r="L14" t="s">
        <v>61</v>
      </c>
      <c r="M14" t="s">
        <v>62</v>
      </c>
      <c r="N14" t="s">
        <v>63</v>
      </c>
      <c r="O14" t="s">
        <v>73</v>
      </c>
    </row>
    <row r="15" spans="1:15" x14ac:dyDescent="0.25">
      <c r="A15" s="5" t="s">
        <v>39</v>
      </c>
      <c r="B15" s="6">
        <v>435817779.52999997</v>
      </c>
      <c r="C15" s="6">
        <v>45929688.936936699</v>
      </c>
      <c r="D15" s="6">
        <v>23137187.554103687</v>
      </c>
      <c r="E15" s="6">
        <v>28204624.749622934</v>
      </c>
      <c r="F15" s="6">
        <v>10342223.306214392</v>
      </c>
      <c r="G15" s="6">
        <v>4486524.2626130162</v>
      </c>
      <c r="H15" s="6">
        <v>13990184.577627316</v>
      </c>
      <c r="I15" s="6">
        <v>18571863.131222054</v>
      </c>
      <c r="K15" s="9">
        <f>C15/B15</f>
        <v>0.1053873685155038</v>
      </c>
      <c r="L15" s="9">
        <f>D15/B15</f>
        <v>5.3089131836373406E-2</v>
      </c>
      <c r="M15" s="9">
        <f>E15/B15</f>
        <v>6.4716553739592078E-2</v>
      </c>
      <c r="N15" s="10">
        <f>F15/B15</f>
        <v>2.3730613554517627E-2</v>
      </c>
      <c r="O15" s="9">
        <f>G15/B15</f>
        <v>1.0294495712064408E-2</v>
      </c>
    </row>
    <row r="16" spans="1:15" x14ac:dyDescent="0.25">
      <c r="A16" s="5" t="s">
        <v>40</v>
      </c>
      <c r="B16" s="6">
        <v>462001028.52999997</v>
      </c>
      <c r="C16" s="6">
        <v>48552249.45320911</v>
      </c>
      <c r="D16" s="6">
        <v>26527944.368765626</v>
      </c>
      <c r="E16" s="6">
        <v>29347405.474699821</v>
      </c>
      <c r="F16" s="6">
        <v>10071962.460136274</v>
      </c>
      <c r="G16" s="6">
        <v>4693196.9383331835</v>
      </c>
      <c r="H16" s="6">
        <v>15151297.703713996</v>
      </c>
      <c r="I16" s="6">
        <v>21813767.216318604</v>
      </c>
      <c r="K16" s="9">
        <f>C16/B16</f>
        <v>0.10509121507303393</v>
      </c>
      <c r="L16" s="9">
        <f>D16/B16</f>
        <v>5.7419665175145899E-2</v>
      </c>
      <c r="M16" s="9">
        <f>E16/B16</f>
        <v>6.3522381255465429E-2</v>
      </c>
      <c r="N16" s="10">
        <f>F16/B16</f>
        <v>2.1800736011742997E-2</v>
      </c>
      <c r="O16" s="9">
        <f>G16/B16</f>
        <v>1.0158412316236719E-2</v>
      </c>
    </row>
    <row r="17" spans="1:15" x14ac:dyDescent="0.25">
      <c r="A17" s="5" t="s">
        <v>41</v>
      </c>
      <c r="B17" s="6">
        <v>481836539.08999997</v>
      </c>
      <c r="C17" s="6">
        <v>52223664.376485527</v>
      </c>
      <c r="D17" s="6">
        <v>26162660.141384814</v>
      </c>
      <c r="E17" s="6">
        <v>30526446.325102091</v>
      </c>
      <c r="F17" s="6">
        <v>9976051.8188085184</v>
      </c>
      <c r="G17" s="6">
        <v>4493401.4477566481</v>
      </c>
      <c r="H17" s="6">
        <v>15921680.8451156</v>
      </c>
      <c r="I17" s="6">
        <v>20915895.365503661</v>
      </c>
      <c r="K17" s="9">
        <f>C17/B17</f>
        <v>0.10838460793180095</v>
      </c>
      <c r="L17" s="9">
        <f>D17/B17</f>
        <v>5.4297791925028781E-2</v>
      </c>
      <c r="M17" s="9">
        <f>E17/B17</f>
        <v>6.3354361590664252E-2</v>
      </c>
      <c r="N17" s="10">
        <f>F17/B17</f>
        <v>2.0704224377938136E-2</v>
      </c>
      <c r="O17" s="9">
        <f>G17/B17</f>
        <v>9.3255722287955145E-3</v>
      </c>
    </row>
    <row r="18" spans="1:15" x14ac:dyDescent="0.25">
      <c r="A18" s="5" t="s">
        <v>38</v>
      </c>
      <c r="B18" s="6">
        <v>1379655347.1500001</v>
      </c>
      <c r="C18" s="6">
        <v>146705602.76663134</v>
      </c>
      <c r="D18" s="6">
        <v>75827792.064254105</v>
      </c>
      <c r="E18" s="6">
        <v>88078476.549424872</v>
      </c>
      <c r="F18" s="6">
        <v>30390237.585159186</v>
      </c>
      <c r="G18" s="6">
        <v>13673122.648702849</v>
      </c>
      <c r="H18" s="6">
        <v>45063163.126456901</v>
      </c>
      <c r="I18" s="6">
        <v>61301525.713044301</v>
      </c>
    </row>
    <row r="21" spans="1:15" x14ac:dyDescent="0.25">
      <c r="A21" s="82" t="s">
        <v>65</v>
      </c>
      <c r="B21" s="82"/>
      <c r="D21" s="82" t="s">
        <v>67</v>
      </c>
      <c r="E21" s="82"/>
      <c r="G21" s="82" t="s">
        <v>71</v>
      </c>
      <c r="H21" s="82"/>
      <c r="I21" s="82"/>
      <c r="J21" s="82"/>
      <c r="L21" s="4"/>
      <c r="M21" s="4"/>
    </row>
    <row r="22" spans="1:15" x14ac:dyDescent="0.25">
      <c r="A22" s="4" t="s">
        <v>1</v>
      </c>
      <c r="B22" t="s">
        <v>66</v>
      </c>
      <c r="D22" s="4" t="s">
        <v>2</v>
      </c>
      <c r="E22" t="s">
        <v>66</v>
      </c>
      <c r="F22" s="4"/>
      <c r="G22" s="4" t="s">
        <v>52</v>
      </c>
      <c r="H22" t="s">
        <v>68</v>
      </c>
      <c r="I22" t="s">
        <v>69</v>
      </c>
      <c r="J22" t="s">
        <v>70</v>
      </c>
      <c r="L22" s="4"/>
      <c r="M22" s="4"/>
    </row>
    <row r="23" spans="1:15" x14ac:dyDescent="0.25">
      <c r="A23" s="5" t="s">
        <v>13</v>
      </c>
      <c r="B23" s="8">
        <v>0.2163470487586549</v>
      </c>
      <c r="D23" s="5" t="s">
        <v>11</v>
      </c>
      <c r="E23" s="8">
        <v>0.24852783075737306</v>
      </c>
      <c r="G23" s="5" t="s">
        <v>39</v>
      </c>
      <c r="H23" s="12">
        <v>41.596288952793039</v>
      </c>
      <c r="I23" s="13">
        <v>53.690928196891271</v>
      </c>
      <c r="J23" s="13">
        <v>37.400573211406702</v>
      </c>
    </row>
    <row r="24" spans="1:15" x14ac:dyDescent="0.25">
      <c r="A24" s="5" t="s">
        <v>7</v>
      </c>
      <c r="B24" s="8">
        <v>0.48340183170216761</v>
      </c>
      <c r="D24" s="5" t="s">
        <v>8</v>
      </c>
      <c r="E24" s="8">
        <v>0.25817937721606432</v>
      </c>
      <c r="G24" s="5" t="s">
        <v>40</v>
      </c>
      <c r="H24" s="12">
        <v>41.998799345166972</v>
      </c>
      <c r="I24" s="13">
        <v>50.786211016640316</v>
      </c>
      <c r="J24" s="13">
        <v>38.73603680835128</v>
      </c>
    </row>
    <row r="25" spans="1:15" x14ac:dyDescent="0.25">
      <c r="A25" s="5" t="s">
        <v>12</v>
      </c>
      <c r="B25" s="8">
        <v>0.30025111953917744</v>
      </c>
      <c r="D25" s="5" t="s">
        <v>9</v>
      </c>
      <c r="E25" s="8">
        <v>0.24147454392736739</v>
      </c>
      <c r="G25" s="5" t="s">
        <v>41</v>
      </c>
      <c r="H25" s="12">
        <v>42.239872564993135</v>
      </c>
      <c r="I25" s="13">
        <v>52.56720555808932</v>
      </c>
      <c r="J25" s="13">
        <v>37.428655877933735</v>
      </c>
    </row>
    <row r="26" spans="1:15" x14ac:dyDescent="0.25">
      <c r="A26" s="5" t="s">
        <v>38</v>
      </c>
      <c r="B26" s="8">
        <v>1</v>
      </c>
      <c r="D26" s="5" t="s">
        <v>10</v>
      </c>
      <c r="E26" s="8">
        <v>0.25181824809919517</v>
      </c>
      <c r="G26" s="5" t="s">
        <v>38</v>
      </c>
      <c r="H26" s="12">
        <v>41.94498695431772</v>
      </c>
      <c r="I26" s="13">
        <v>52.348114923873631</v>
      </c>
      <c r="J26" s="13">
        <v>37.855088632563906</v>
      </c>
    </row>
    <row r="27" spans="1:15" x14ac:dyDescent="0.25">
      <c r="D27" s="5" t="s">
        <v>38</v>
      </c>
      <c r="E27" s="8">
        <v>1</v>
      </c>
    </row>
    <row r="29" spans="1:15" x14ac:dyDescent="0.25">
      <c r="A29" s="82" t="s">
        <v>112</v>
      </c>
      <c r="B29" s="82"/>
      <c r="C29" s="82"/>
    </row>
    <row r="30" spans="1:15" x14ac:dyDescent="0.25">
      <c r="B30" s="4" t="s">
        <v>111</v>
      </c>
    </row>
    <row r="31" spans="1:15" x14ac:dyDescent="0.25">
      <c r="B31" t="s">
        <v>41</v>
      </c>
    </row>
    <row r="33" spans="1:3" x14ac:dyDescent="0.25">
      <c r="A33" s="4" t="s">
        <v>1</v>
      </c>
      <c r="B33" t="s">
        <v>43</v>
      </c>
      <c r="C33" t="s">
        <v>107</v>
      </c>
    </row>
    <row r="34" spans="1:3" x14ac:dyDescent="0.25">
      <c r="A34" s="5" t="s">
        <v>13</v>
      </c>
      <c r="B34" s="6">
        <v>107028066.33</v>
      </c>
      <c r="C34" s="6">
        <v>68579822.260000005</v>
      </c>
    </row>
    <row r="35" spans="1:3" x14ac:dyDescent="0.25">
      <c r="A35" s="5" t="s">
        <v>7</v>
      </c>
      <c r="B35" s="6">
        <v>228061615.83000001</v>
      </c>
      <c r="C35" s="6">
        <v>141147040.33000001</v>
      </c>
    </row>
    <row r="36" spans="1:3" x14ac:dyDescent="0.25">
      <c r="A36" s="5" t="s">
        <v>12</v>
      </c>
      <c r="B36" s="6">
        <v>146746856.93000001</v>
      </c>
      <c r="C36" s="6">
        <v>85040729.010000005</v>
      </c>
    </row>
    <row r="37" spans="1:3" x14ac:dyDescent="0.25">
      <c r="A37" s="5" t="s">
        <v>38</v>
      </c>
      <c r="B37" s="6">
        <v>481836539.08999997</v>
      </c>
      <c r="C37" s="6">
        <v>294767591.60000002</v>
      </c>
    </row>
  </sheetData>
  <mergeCells count="8">
    <mergeCell ref="A29:C29"/>
    <mergeCell ref="A5:E5"/>
    <mergeCell ref="F5:I5"/>
    <mergeCell ref="A13:G13"/>
    <mergeCell ref="K13:O13"/>
    <mergeCell ref="A21:B21"/>
    <mergeCell ref="D21:E21"/>
    <mergeCell ref="G21:J21"/>
  </mergeCells>
  <pageMargins left="0.7" right="0.7" top="0.75" bottom="0.75" header="0.3" footer="0.3"/>
  <pageSetup paperSize="9" orientation="portrait" horizontalDpi="4294967293" verticalDpi="0" r:id="rId7"/>
  <drawing r:id="rId8"/>
  <tableParts count="2">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3"/>
  <sheetViews>
    <sheetView zoomScaleNormal="100" workbookViewId="0">
      <pane ySplit="1" topLeftCell="A2" activePane="bottomLeft" state="frozen"/>
      <selection pane="bottomLeft" activeCell="F9" sqref="F9"/>
    </sheetView>
  </sheetViews>
  <sheetFormatPr defaultRowHeight="15" x14ac:dyDescent="0.25"/>
  <cols>
    <col min="1" max="7" width="20" customWidth="1"/>
  </cols>
  <sheetData>
    <row r="1" spans="1:7" x14ac:dyDescent="0.25">
      <c r="A1" s="3" t="s">
        <v>0</v>
      </c>
      <c r="B1" s="3" t="s">
        <v>1</v>
      </c>
      <c r="C1" s="3" t="s">
        <v>2</v>
      </c>
      <c r="D1" s="3" t="s">
        <v>3</v>
      </c>
      <c r="E1" s="3" t="s">
        <v>4</v>
      </c>
      <c r="F1" s="3" t="s">
        <v>5</v>
      </c>
      <c r="G1" s="3" t="s">
        <v>6</v>
      </c>
    </row>
    <row r="2" spans="1:7" x14ac:dyDescent="0.25">
      <c r="A2" s="2">
        <v>44927</v>
      </c>
      <c r="B2" t="s">
        <v>7</v>
      </c>
      <c r="C2" t="s">
        <v>8</v>
      </c>
      <c r="D2">
        <v>86</v>
      </c>
      <c r="E2">
        <v>41096.839999999997</v>
      </c>
      <c r="F2">
        <v>3534328.17</v>
      </c>
      <c r="G2">
        <v>2132546.17</v>
      </c>
    </row>
    <row r="3" spans="1:7" x14ac:dyDescent="0.25">
      <c r="A3" s="2">
        <v>44927</v>
      </c>
      <c r="B3" t="s">
        <v>7</v>
      </c>
      <c r="C3" t="s">
        <v>9</v>
      </c>
      <c r="D3">
        <v>111</v>
      </c>
      <c r="E3">
        <v>41387.620000000003</v>
      </c>
      <c r="F3">
        <v>4594026.1500000004</v>
      </c>
      <c r="G3">
        <v>2904057.85</v>
      </c>
    </row>
    <row r="4" spans="1:7" x14ac:dyDescent="0.25">
      <c r="A4" s="2">
        <v>44927</v>
      </c>
      <c r="B4" t="s">
        <v>7</v>
      </c>
      <c r="C4" t="s">
        <v>10</v>
      </c>
      <c r="D4">
        <v>105</v>
      </c>
      <c r="E4">
        <v>42232.17</v>
      </c>
      <c r="F4">
        <v>4434378.34</v>
      </c>
      <c r="G4">
        <v>2682267.62</v>
      </c>
    </row>
    <row r="5" spans="1:7" x14ac:dyDescent="0.25">
      <c r="A5" s="2">
        <v>44927</v>
      </c>
      <c r="B5" t="s">
        <v>7</v>
      </c>
      <c r="C5" t="s">
        <v>11</v>
      </c>
      <c r="D5">
        <v>101</v>
      </c>
      <c r="E5">
        <v>43096.27</v>
      </c>
      <c r="F5">
        <v>4352723.16</v>
      </c>
      <c r="G5">
        <v>2685165.25</v>
      </c>
    </row>
    <row r="6" spans="1:7" x14ac:dyDescent="0.25">
      <c r="A6" s="2">
        <v>44927</v>
      </c>
      <c r="B6" t="s">
        <v>12</v>
      </c>
      <c r="C6" t="s">
        <v>8</v>
      </c>
      <c r="D6">
        <v>259</v>
      </c>
      <c r="E6">
        <v>14298.39</v>
      </c>
      <c r="F6">
        <v>3703283.9</v>
      </c>
      <c r="G6">
        <v>2176128.1800000002</v>
      </c>
    </row>
    <row r="7" spans="1:7" x14ac:dyDescent="0.25">
      <c r="A7" s="2">
        <v>44927</v>
      </c>
      <c r="B7" t="s">
        <v>12</v>
      </c>
      <c r="C7" t="s">
        <v>9</v>
      </c>
      <c r="D7">
        <v>175</v>
      </c>
      <c r="E7">
        <v>14007.31</v>
      </c>
      <c r="F7">
        <v>2451278.9700000002</v>
      </c>
      <c r="G7">
        <v>1432042.98</v>
      </c>
    </row>
    <row r="8" spans="1:7" x14ac:dyDescent="0.25">
      <c r="A8" s="2">
        <v>44927</v>
      </c>
      <c r="B8" t="s">
        <v>12</v>
      </c>
      <c r="C8" t="s">
        <v>10</v>
      </c>
      <c r="D8">
        <v>260</v>
      </c>
      <c r="E8">
        <v>14349.68</v>
      </c>
      <c r="F8">
        <v>3730917.61</v>
      </c>
      <c r="G8">
        <v>2043708</v>
      </c>
    </row>
    <row r="9" spans="1:7" x14ac:dyDescent="0.25">
      <c r="A9" s="2">
        <v>44927</v>
      </c>
      <c r="B9" t="s">
        <v>12</v>
      </c>
      <c r="C9" t="s">
        <v>11</v>
      </c>
      <c r="D9">
        <v>176</v>
      </c>
      <c r="E9">
        <v>14380</v>
      </c>
      <c r="F9">
        <v>2530879.7000000002</v>
      </c>
      <c r="G9">
        <v>1504808.5</v>
      </c>
    </row>
    <row r="10" spans="1:7" x14ac:dyDescent="0.25">
      <c r="A10" s="2">
        <v>44927</v>
      </c>
      <c r="B10" t="s">
        <v>13</v>
      </c>
      <c r="C10" t="s">
        <v>8</v>
      </c>
      <c r="D10">
        <v>227</v>
      </c>
      <c r="E10">
        <v>6140.01</v>
      </c>
      <c r="F10">
        <v>1393782.77</v>
      </c>
      <c r="G10">
        <v>890187.19</v>
      </c>
    </row>
    <row r="11" spans="1:7" x14ac:dyDescent="0.25">
      <c r="A11" s="2">
        <v>44927</v>
      </c>
      <c r="B11" t="s">
        <v>13</v>
      </c>
      <c r="C11" t="s">
        <v>9</v>
      </c>
      <c r="D11">
        <v>298</v>
      </c>
      <c r="E11">
        <v>6210.83</v>
      </c>
      <c r="F11">
        <v>1850826.33</v>
      </c>
      <c r="G11">
        <v>1153149.5</v>
      </c>
    </row>
    <row r="12" spans="1:7" x14ac:dyDescent="0.25">
      <c r="A12" s="2">
        <v>44927</v>
      </c>
      <c r="B12" t="s">
        <v>13</v>
      </c>
      <c r="C12" t="s">
        <v>10</v>
      </c>
      <c r="D12">
        <v>257</v>
      </c>
      <c r="E12">
        <v>6175.88</v>
      </c>
      <c r="F12">
        <v>1587200.35</v>
      </c>
      <c r="G12">
        <v>1077620.79</v>
      </c>
    </row>
    <row r="13" spans="1:7" x14ac:dyDescent="0.25">
      <c r="A13" s="2">
        <v>44927</v>
      </c>
      <c r="B13" t="s">
        <v>13</v>
      </c>
      <c r="C13" t="s">
        <v>11</v>
      </c>
      <c r="D13">
        <v>308</v>
      </c>
      <c r="E13">
        <v>6017.8</v>
      </c>
      <c r="F13">
        <v>1853481.63</v>
      </c>
      <c r="G13">
        <v>1167664.1499999999</v>
      </c>
    </row>
    <row r="14" spans="1:7" x14ac:dyDescent="0.25">
      <c r="A14" s="2">
        <v>44958</v>
      </c>
      <c r="B14" t="s">
        <v>7</v>
      </c>
      <c r="C14" t="s">
        <v>8</v>
      </c>
      <c r="D14">
        <v>125</v>
      </c>
      <c r="E14">
        <v>43163.16</v>
      </c>
      <c r="F14">
        <v>5395395.1399999997</v>
      </c>
      <c r="G14">
        <v>3356033.22</v>
      </c>
    </row>
    <row r="15" spans="1:7" x14ac:dyDescent="0.25">
      <c r="A15" s="2">
        <v>44958</v>
      </c>
      <c r="B15" t="s">
        <v>7</v>
      </c>
      <c r="C15" t="s">
        <v>9</v>
      </c>
      <c r="D15">
        <v>132</v>
      </c>
      <c r="E15">
        <v>41062.559999999998</v>
      </c>
      <c r="F15">
        <v>5420258.5700000003</v>
      </c>
      <c r="G15">
        <v>3237207.1</v>
      </c>
    </row>
    <row r="16" spans="1:7" x14ac:dyDescent="0.25">
      <c r="A16" s="2">
        <v>44958</v>
      </c>
      <c r="B16" t="s">
        <v>7</v>
      </c>
      <c r="C16" t="s">
        <v>10</v>
      </c>
      <c r="D16">
        <v>125</v>
      </c>
      <c r="E16">
        <v>41600.94</v>
      </c>
      <c r="F16">
        <v>5200117.17</v>
      </c>
      <c r="G16">
        <v>3200982.97</v>
      </c>
    </row>
    <row r="17" spans="1:7" x14ac:dyDescent="0.25">
      <c r="A17" s="2">
        <v>44958</v>
      </c>
      <c r="B17" t="s">
        <v>7</v>
      </c>
      <c r="C17" t="s">
        <v>11</v>
      </c>
      <c r="D17">
        <v>106</v>
      </c>
      <c r="E17">
        <v>41431</v>
      </c>
      <c r="F17">
        <v>4391686.3</v>
      </c>
      <c r="G17">
        <v>2651391.9500000002</v>
      </c>
    </row>
    <row r="18" spans="1:7" x14ac:dyDescent="0.25">
      <c r="A18" s="2">
        <v>44958</v>
      </c>
      <c r="B18" t="s">
        <v>12</v>
      </c>
      <c r="C18" t="s">
        <v>8</v>
      </c>
      <c r="D18">
        <v>189</v>
      </c>
      <c r="E18">
        <v>14604.99</v>
      </c>
      <c r="F18">
        <v>2760342.19</v>
      </c>
      <c r="G18">
        <v>1595464.29</v>
      </c>
    </row>
    <row r="19" spans="1:7" x14ac:dyDescent="0.25">
      <c r="A19" s="2">
        <v>44958</v>
      </c>
      <c r="B19" t="s">
        <v>12</v>
      </c>
      <c r="C19" t="s">
        <v>9</v>
      </c>
      <c r="D19">
        <v>142</v>
      </c>
      <c r="E19">
        <v>14604.05</v>
      </c>
      <c r="F19">
        <v>2073774.66</v>
      </c>
      <c r="G19">
        <v>1219140.98</v>
      </c>
    </row>
    <row r="20" spans="1:7" x14ac:dyDescent="0.25">
      <c r="A20" s="2">
        <v>44958</v>
      </c>
      <c r="B20" t="s">
        <v>12</v>
      </c>
      <c r="C20" t="s">
        <v>10</v>
      </c>
      <c r="D20">
        <v>225</v>
      </c>
      <c r="E20">
        <v>14727.36</v>
      </c>
      <c r="F20">
        <v>3313656.22</v>
      </c>
      <c r="G20">
        <v>2044897.81</v>
      </c>
    </row>
    <row r="21" spans="1:7" x14ac:dyDescent="0.25">
      <c r="A21" s="2">
        <v>44958</v>
      </c>
      <c r="B21" t="s">
        <v>12</v>
      </c>
      <c r="C21" t="s">
        <v>11</v>
      </c>
      <c r="D21">
        <v>149</v>
      </c>
      <c r="E21">
        <v>14395.1</v>
      </c>
      <c r="F21">
        <v>2144870.0699999998</v>
      </c>
      <c r="G21">
        <v>1287295.52</v>
      </c>
    </row>
    <row r="22" spans="1:7" x14ac:dyDescent="0.25">
      <c r="A22" s="2">
        <v>44958</v>
      </c>
      <c r="B22" t="s">
        <v>13</v>
      </c>
      <c r="C22" t="s">
        <v>8</v>
      </c>
      <c r="D22">
        <v>319</v>
      </c>
      <c r="E22">
        <v>5994.27</v>
      </c>
      <c r="F22">
        <v>1912172.07</v>
      </c>
      <c r="G22">
        <v>1239564.76</v>
      </c>
    </row>
    <row r="23" spans="1:7" x14ac:dyDescent="0.25">
      <c r="A23" s="2">
        <v>44958</v>
      </c>
      <c r="B23" t="s">
        <v>13</v>
      </c>
      <c r="C23" t="s">
        <v>9</v>
      </c>
      <c r="D23">
        <v>427</v>
      </c>
      <c r="E23">
        <v>5984.87</v>
      </c>
      <c r="F23">
        <v>2555540.48</v>
      </c>
      <c r="G23">
        <v>1601548.48</v>
      </c>
    </row>
    <row r="24" spans="1:7" x14ac:dyDescent="0.25">
      <c r="A24" s="2">
        <v>44958</v>
      </c>
      <c r="B24" t="s">
        <v>13</v>
      </c>
      <c r="C24" t="s">
        <v>10</v>
      </c>
      <c r="D24">
        <v>275</v>
      </c>
      <c r="E24">
        <v>5938.32</v>
      </c>
      <c r="F24">
        <v>1633039.29</v>
      </c>
      <c r="G24">
        <v>1040189.11</v>
      </c>
    </row>
    <row r="25" spans="1:7" x14ac:dyDescent="0.25">
      <c r="A25" s="2">
        <v>44958</v>
      </c>
      <c r="B25" t="s">
        <v>13</v>
      </c>
      <c r="C25" t="s">
        <v>11</v>
      </c>
      <c r="D25">
        <v>405</v>
      </c>
      <c r="E25">
        <v>6192.83</v>
      </c>
      <c r="F25">
        <v>2508096.77</v>
      </c>
      <c r="G25">
        <v>1659355.71</v>
      </c>
    </row>
    <row r="26" spans="1:7" x14ac:dyDescent="0.25">
      <c r="A26" s="2">
        <v>44986</v>
      </c>
      <c r="B26" t="s">
        <v>7</v>
      </c>
      <c r="C26" t="s">
        <v>8</v>
      </c>
      <c r="D26">
        <v>115</v>
      </c>
      <c r="E26">
        <v>41940.480000000003</v>
      </c>
      <c r="F26">
        <v>4823154.71</v>
      </c>
      <c r="G26">
        <v>3039339.84</v>
      </c>
    </row>
    <row r="27" spans="1:7" x14ac:dyDescent="0.25">
      <c r="A27" s="2">
        <v>44986</v>
      </c>
      <c r="B27" t="s">
        <v>7</v>
      </c>
      <c r="C27" t="s">
        <v>9</v>
      </c>
      <c r="D27">
        <v>104</v>
      </c>
      <c r="E27">
        <v>39569.18</v>
      </c>
      <c r="F27">
        <v>4115194.94</v>
      </c>
      <c r="G27">
        <v>2621710.9700000002</v>
      </c>
    </row>
    <row r="28" spans="1:7" x14ac:dyDescent="0.25">
      <c r="A28" s="2">
        <v>44986</v>
      </c>
      <c r="B28" t="s">
        <v>7</v>
      </c>
      <c r="C28" t="s">
        <v>10</v>
      </c>
      <c r="D28">
        <v>167</v>
      </c>
      <c r="E28">
        <v>44356.37</v>
      </c>
      <c r="F28">
        <v>7407514.3300000001</v>
      </c>
      <c r="G28">
        <v>5049389.97</v>
      </c>
    </row>
    <row r="29" spans="1:7" x14ac:dyDescent="0.25">
      <c r="A29" s="2">
        <v>44986</v>
      </c>
      <c r="B29" t="s">
        <v>7</v>
      </c>
      <c r="C29" t="s">
        <v>11</v>
      </c>
      <c r="D29">
        <v>105</v>
      </c>
      <c r="E29">
        <v>42833.84</v>
      </c>
      <c r="F29">
        <v>4497553.3499999996</v>
      </c>
      <c r="G29">
        <v>2710293</v>
      </c>
    </row>
    <row r="30" spans="1:7" x14ac:dyDescent="0.25">
      <c r="A30" s="2">
        <v>44986</v>
      </c>
      <c r="B30" t="s">
        <v>12</v>
      </c>
      <c r="C30" t="s">
        <v>8</v>
      </c>
      <c r="D30">
        <v>178</v>
      </c>
      <c r="E30">
        <v>14264.03</v>
      </c>
      <c r="F30">
        <v>2538997.36</v>
      </c>
      <c r="G30">
        <v>1517035.17</v>
      </c>
    </row>
    <row r="31" spans="1:7" x14ac:dyDescent="0.25">
      <c r="A31" s="2">
        <v>44986</v>
      </c>
      <c r="B31" t="s">
        <v>12</v>
      </c>
      <c r="C31" t="s">
        <v>9</v>
      </c>
      <c r="D31">
        <v>197</v>
      </c>
      <c r="E31">
        <v>14052.02</v>
      </c>
      <c r="F31">
        <v>2768247.83</v>
      </c>
      <c r="G31">
        <v>1568313.79</v>
      </c>
    </row>
    <row r="32" spans="1:7" x14ac:dyDescent="0.25">
      <c r="A32" s="2">
        <v>44986</v>
      </c>
      <c r="B32" t="s">
        <v>12</v>
      </c>
      <c r="C32" t="s">
        <v>10</v>
      </c>
      <c r="D32">
        <v>124</v>
      </c>
      <c r="E32">
        <v>13968.57</v>
      </c>
      <c r="F32">
        <v>1732102.42</v>
      </c>
      <c r="G32">
        <v>1041306.1</v>
      </c>
    </row>
    <row r="33" spans="1:7" x14ac:dyDescent="0.25">
      <c r="A33" s="2">
        <v>44986</v>
      </c>
      <c r="B33" t="s">
        <v>12</v>
      </c>
      <c r="C33" t="s">
        <v>11</v>
      </c>
      <c r="D33">
        <v>178</v>
      </c>
      <c r="E33">
        <v>14312.31</v>
      </c>
      <c r="F33">
        <v>2547591</v>
      </c>
      <c r="G33">
        <v>1536188.46</v>
      </c>
    </row>
    <row r="34" spans="1:7" x14ac:dyDescent="0.25">
      <c r="A34" s="2">
        <v>44986</v>
      </c>
      <c r="B34" t="s">
        <v>13</v>
      </c>
      <c r="C34" t="s">
        <v>8</v>
      </c>
      <c r="D34">
        <v>369</v>
      </c>
      <c r="E34">
        <v>6126.27</v>
      </c>
      <c r="F34">
        <v>2260595.0499999998</v>
      </c>
      <c r="G34">
        <v>1359365.6</v>
      </c>
    </row>
    <row r="35" spans="1:7" x14ac:dyDescent="0.25">
      <c r="A35" s="2">
        <v>44986</v>
      </c>
      <c r="B35" t="s">
        <v>13</v>
      </c>
      <c r="C35" t="s">
        <v>9</v>
      </c>
      <c r="D35">
        <v>306</v>
      </c>
      <c r="E35">
        <v>5991.83</v>
      </c>
      <c r="F35">
        <v>1833500.58</v>
      </c>
      <c r="G35">
        <v>1181916.9099999999</v>
      </c>
    </row>
    <row r="36" spans="1:7" x14ac:dyDescent="0.25">
      <c r="A36" s="2">
        <v>44986</v>
      </c>
      <c r="B36" t="s">
        <v>13</v>
      </c>
      <c r="C36" t="s">
        <v>10</v>
      </c>
      <c r="D36">
        <v>290</v>
      </c>
      <c r="E36">
        <v>6228.18</v>
      </c>
      <c r="F36">
        <v>1806171.3</v>
      </c>
      <c r="G36">
        <v>1128293.19</v>
      </c>
    </row>
    <row r="37" spans="1:7" x14ac:dyDescent="0.25">
      <c r="A37" s="2">
        <v>44986</v>
      </c>
      <c r="B37" t="s">
        <v>13</v>
      </c>
      <c r="C37" t="s">
        <v>11</v>
      </c>
      <c r="D37">
        <v>253</v>
      </c>
      <c r="E37">
        <v>6195.86</v>
      </c>
      <c r="F37">
        <v>1567552.74</v>
      </c>
      <c r="G37">
        <v>988733.43999999994</v>
      </c>
    </row>
    <row r="38" spans="1:7" x14ac:dyDescent="0.25">
      <c r="A38" s="2">
        <v>45017</v>
      </c>
      <c r="B38" t="s">
        <v>7</v>
      </c>
      <c r="C38" t="s">
        <v>8</v>
      </c>
      <c r="D38">
        <v>84</v>
      </c>
      <c r="E38">
        <v>42893.18</v>
      </c>
      <c r="F38">
        <v>3603027.46</v>
      </c>
      <c r="G38">
        <v>2297216.9300000002</v>
      </c>
    </row>
    <row r="39" spans="1:7" x14ac:dyDescent="0.25">
      <c r="A39" s="2">
        <v>45017</v>
      </c>
      <c r="B39" t="s">
        <v>7</v>
      </c>
      <c r="C39" t="s">
        <v>9</v>
      </c>
      <c r="D39">
        <v>113</v>
      </c>
      <c r="E39">
        <v>41458.449999999997</v>
      </c>
      <c r="F39">
        <v>4684804.91</v>
      </c>
      <c r="G39">
        <v>2820320.41</v>
      </c>
    </row>
    <row r="40" spans="1:7" x14ac:dyDescent="0.25">
      <c r="A40" s="2">
        <v>45017</v>
      </c>
      <c r="B40" t="s">
        <v>7</v>
      </c>
      <c r="C40" t="s">
        <v>10</v>
      </c>
      <c r="D40">
        <v>115</v>
      </c>
      <c r="E40">
        <v>41828.92</v>
      </c>
      <c r="F40">
        <v>4810325.68</v>
      </c>
      <c r="G40">
        <v>3121962.38</v>
      </c>
    </row>
    <row r="41" spans="1:7" x14ac:dyDescent="0.25">
      <c r="A41" s="2">
        <v>45017</v>
      </c>
      <c r="B41" t="s">
        <v>7</v>
      </c>
      <c r="C41" t="s">
        <v>11</v>
      </c>
      <c r="D41">
        <v>134</v>
      </c>
      <c r="E41">
        <v>40324.93</v>
      </c>
      <c r="F41">
        <v>5403541.2199999997</v>
      </c>
      <c r="G41">
        <v>3259351.45</v>
      </c>
    </row>
    <row r="42" spans="1:7" x14ac:dyDescent="0.25">
      <c r="A42" s="2">
        <v>45017</v>
      </c>
      <c r="B42" t="s">
        <v>12</v>
      </c>
      <c r="C42" t="s">
        <v>8</v>
      </c>
      <c r="D42">
        <v>231</v>
      </c>
      <c r="E42">
        <v>14017.07</v>
      </c>
      <c r="F42">
        <v>3237942.93</v>
      </c>
      <c r="G42">
        <v>1955312.67</v>
      </c>
    </row>
    <row r="43" spans="1:7" x14ac:dyDescent="0.25">
      <c r="A43" s="2">
        <v>45017</v>
      </c>
      <c r="B43" t="s">
        <v>12</v>
      </c>
      <c r="C43" t="s">
        <v>9</v>
      </c>
      <c r="D43">
        <v>161</v>
      </c>
      <c r="E43">
        <v>13826.26</v>
      </c>
      <c r="F43">
        <v>2226028.4300000002</v>
      </c>
      <c r="G43">
        <v>1324210.2</v>
      </c>
    </row>
    <row r="44" spans="1:7" x14ac:dyDescent="0.25">
      <c r="A44" s="2">
        <v>45017</v>
      </c>
      <c r="B44" t="s">
        <v>12</v>
      </c>
      <c r="C44" t="s">
        <v>10</v>
      </c>
      <c r="D44">
        <v>221</v>
      </c>
      <c r="E44">
        <v>14948.78</v>
      </c>
      <c r="F44">
        <v>3303679.74</v>
      </c>
      <c r="G44">
        <v>1930062.65</v>
      </c>
    </row>
    <row r="45" spans="1:7" x14ac:dyDescent="0.25">
      <c r="A45" s="2">
        <v>45017</v>
      </c>
      <c r="B45" t="s">
        <v>12</v>
      </c>
      <c r="C45" t="s">
        <v>11</v>
      </c>
      <c r="D45">
        <v>153</v>
      </c>
      <c r="E45">
        <v>14279.73</v>
      </c>
      <c r="F45">
        <v>2184798.7200000002</v>
      </c>
      <c r="G45">
        <v>1259227.8</v>
      </c>
    </row>
    <row r="46" spans="1:7" x14ac:dyDescent="0.25">
      <c r="A46" s="2">
        <v>45017</v>
      </c>
      <c r="B46" t="s">
        <v>13</v>
      </c>
      <c r="C46" t="s">
        <v>8</v>
      </c>
      <c r="D46">
        <v>366</v>
      </c>
      <c r="E46">
        <v>6169.5</v>
      </c>
      <c r="F46">
        <v>2258038.16</v>
      </c>
      <c r="G46">
        <v>1451559.39</v>
      </c>
    </row>
    <row r="47" spans="1:7" x14ac:dyDescent="0.25">
      <c r="A47" s="2">
        <v>45017</v>
      </c>
      <c r="B47" t="s">
        <v>13</v>
      </c>
      <c r="C47" t="s">
        <v>9</v>
      </c>
      <c r="D47">
        <v>448</v>
      </c>
      <c r="E47">
        <v>6469.8</v>
      </c>
      <c r="F47">
        <v>2898468.41</v>
      </c>
      <c r="G47">
        <v>1784938.9</v>
      </c>
    </row>
    <row r="48" spans="1:7" x14ac:dyDescent="0.25">
      <c r="A48" s="2">
        <v>45017</v>
      </c>
      <c r="B48" t="s">
        <v>13</v>
      </c>
      <c r="C48" t="s">
        <v>10</v>
      </c>
      <c r="D48">
        <v>406</v>
      </c>
      <c r="E48">
        <v>6097.3</v>
      </c>
      <c r="F48">
        <v>2475502.19</v>
      </c>
      <c r="G48">
        <v>1665219.77</v>
      </c>
    </row>
    <row r="49" spans="1:7" x14ac:dyDescent="0.25">
      <c r="A49" s="2">
        <v>45017</v>
      </c>
      <c r="B49" t="s">
        <v>13</v>
      </c>
      <c r="C49" t="s">
        <v>11</v>
      </c>
      <c r="D49">
        <v>324</v>
      </c>
      <c r="E49">
        <v>6022.43</v>
      </c>
      <c r="F49">
        <v>1951266.89</v>
      </c>
      <c r="G49">
        <v>1265376.1200000001</v>
      </c>
    </row>
    <row r="50" spans="1:7" x14ac:dyDescent="0.25">
      <c r="A50" s="2">
        <v>45047</v>
      </c>
      <c r="B50" t="s">
        <v>7</v>
      </c>
      <c r="C50" t="s">
        <v>8</v>
      </c>
      <c r="D50">
        <v>122</v>
      </c>
      <c r="E50">
        <v>42851.37</v>
      </c>
      <c r="F50">
        <v>5227867.13</v>
      </c>
      <c r="G50">
        <v>3269115.91</v>
      </c>
    </row>
    <row r="51" spans="1:7" x14ac:dyDescent="0.25">
      <c r="A51" s="2">
        <v>45047</v>
      </c>
      <c r="B51" t="s">
        <v>7</v>
      </c>
      <c r="C51" t="s">
        <v>9</v>
      </c>
      <c r="D51">
        <v>125</v>
      </c>
      <c r="E51">
        <v>41630.57</v>
      </c>
      <c r="F51">
        <v>5203820.67</v>
      </c>
      <c r="G51">
        <v>3268003.74</v>
      </c>
    </row>
    <row r="52" spans="1:7" x14ac:dyDescent="0.25">
      <c r="A52" s="2">
        <v>45047</v>
      </c>
      <c r="B52" t="s">
        <v>7</v>
      </c>
      <c r="C52" t="s">
        <v>10</v>
      </c>
      <c r="D52">
        <v>95</v>
      </c>
      <c r="E52">
        <v>40600.5</v>
      </c>
      <c r="F52">
        <v>3857047.18</v>
      </c>
      <c r="G52">
        <v>2336669.81</v>
      </c>
    </row>
    <row r="53" spans="1:7" x14ac:dyDescent="0.25">
      <c r="A53" s="2">
        <v>45047</v>
      </c>
      <c r="B53" t="s">
        <v>7</v>
      </c>
      <c r="C53" t="s">
        <v>11</v>
      </c>
      <c r="D53">
        <v>74</v>
      </c>
      <c r="E53">
        <v>42332.55</v>
      </c>
      <c r="F53">
        <v>3132608.36</v>
      </c>
      <c r="G53">
        <v>1905090</v>
      </c>
    </row>
    <row r="54" spans="1:7" x14ac:dyDescent="0.25">
      <c r="A54" s="2">
        <v>45047</v>
      </c>
      <c r="B54" t="s">
        <v>12</v>
      </c>
      <c r="C54" t="s">
        <v>8</v>
      </c>
      <c r="D54">
        <v>191</v>
      </c>
      <c r="E54">
        <v>14366.38</v>
      </c>
      <c r="F54">
        <v>2743979.27</v>
      </c>
      <c r="G54">
        <v>1635020.92</v>
      </c>
    </row>
    <row r="55" spans="1:7" x14ac:dyDescent="0.25">
      <c r="A55" s="2">
        <v>45047</v>
      </c>
      <c r="B55" t="s">
        <v>12</v>
      </c>
      <c r="C55" t="s">
        <v>9</v>
      </c>
      <c r="D55">
        <v>143</v>
      </c>
      <c r="E55">
        <v>14649.82</v>
      </c>
      <c r="F55">
        <v>2094924.22</v>
      </c>
      <c r="G55">
        <v>1226080.6100000001</v>
      </c>
    </row>
    <row r="56" spans="1:7" x14ac:dyDescent="0.25">
      <c r="A56" s="2">
        <v>45047</v>
      </c>
      <c r="B56" t="s">
        <v>12</v>
      </c>
      <c r="C56" t="s">
        <v>10</v>
      </c>
      <c r="D56">
        <v>185</v>
      </c>
      <c r="E56">
        <v>14805.12</v>
      </c>
      <c r="F56">
        <v>2738946.71</v>
      </c>
      <c r="G56">
        <v>1538466.56</v>
      </c>
    </row>
    <row r="57" spans="1:7" x14ac:dyDescent="0.25">
      <c r="A57" s="2">
        <v>45047</v>
      </c>
      <c r="B57" t="s">
        <v>12</v>
      </c>
      <c r="C57" t="s">
        <v>11</v>
      </c>
      <c r="D57">
        <v>210</v>
      </c>
      <c r="E57">
        <v>14829.37</v>
      </c>
      <c r="F57">
        <v>3114167.4</v>
      </c>
      <c r="G57">
        <v>1738397.55</v>
      </c>
    </row>
    <row r="58" spans="1:7" x14ac:dyDescent="0.25">
      <c r="A58" s="2">
        <v>45047</v>
      </c>
      <c r="B58" t="s">
        <v>13</v>
      </c>
      <c r="C58" t="s">
        <v>8</v>
      </c>
      <c r="D58">
        <v>247</v>
      </c>
      <c r="E58">
        <v>6071.48</v>
      </c>
      <c r="F58">
        <v>1499655.65</v>
      </c>
      <c r="G58">
        <v>945531.28</v>
      </c>
    </row>
    <row r="59" spans="1:7" x14ac:dyDescent="0.25">
      <c r="A59" s="2">
        <v>45047</v>
      </c>
      <c r="B59" t="s">
        <v>13</v>
      </c>
      <c r="C59" t="s">
        <v>9</v>
      </c>
      <c r="D59">
        <v>300</v>
      </c>
      <c r="E59">
        <v>6168.11</v>
      </c>
      <c r="F59">
        <v>1850434.4</v>
      </c>
      <c r="G59">
        <v>1156363.6100000001</v>
      </c>
    </row>
    <row r="60" spans="1:7" x14ac:dyDescent="0.25">
      <c r="A60" s="2">
        <v>45047</v>
      </c>
      <c r="B60" t="s">
        <v>13</v>
      </c>
      <c r="C60" t="s">
        <v>10</v>
      </c>
      <c r="D60">
        <v>278</v>
      </c>
      <c r="E60">
        <v>6020.23</v>
      </c>
      <c r="F60">
        <v>1673623.84</v>
      </c>
      <c r="G60">
        <v>1057254.73</v>
      </c>
    </row>
    <row r="61" spans="1:7" x14ac:dyDescent="0.25">
      <c r="A61" s="2">
        <v>45047</v>
      </c>
      <c r="B61" t="s">
        <v>13</v>
      </c>
      <c r="C61" t="s">
        <v>11</v>
      </c>
      <c r="D61">
        <v>291</v>
      </c>
      <c r="E61">
        <v>6340.75</v>
      </c>
      <c r="F61">
        <v>1845157.27</v>
      </c>
      <c r="G61">
        <v>1205057.01</v>
      </c>
    </row>
    <row r="62" spans="1:7" x14ac:dyDescent="0.25">
      <c r="A62" s="2">
        <v>45078</v>
      </c>
      <c r="B62" t="s">
        <v>7</v>
      </c>
      <c r="C62" t="s">
        <v>8</v>
      </c>
      <c r="D62">
        <v>72</v>
      </c>
      <c r="E62">
        <v>41704.21</v>
      </c>
      <c r="F62">
        <v>3002702.83</v>
      </c>
      <c r="G62">
        <v>1860213.78</v>
      </c>
    </row>
    <row r="63" spans="1:7" x14ac:dyDescent="0.25">
      <c r="A63" s="2">
        <v>45078</v>
      </c>
      <c r="B63" t="s">
        <v>7</v>
      </c>
      <c r="C63" t="s">
        <v>9</v>
      </c>
      <c r="D63">
        <v>137</v>
      </c>
      <c r="E63">
        <v>43293.41</v>
      </c>
      <c r="F63">
        <v>5931197.5499999998</v>
      </c>
      <c r="G63">
        <v>3797088.39</v>
      </c>
    </row>
    <row r="64" spans="1:7" x14ac:dyDescent="0.25">
      <c r="A64" s="2">
        <v>45078</v>
      </c>
      <c r="B64" t="s">
        <v>7</v>
      </c>
      <c r="C64" t="s">
        <v>10</v>
      </c>
      <c r="D64">
        <v>88</v>
      </c>
      <c r="E64">
        <v>40443.74</v>
      </c>
      <c r="F64">
        <v>3559049.38</v>
      </c>
      <c r="G64">
        <v>2148723.2000000002</v>
      </c>
    </row>
    <row r="65" spans="1:7" x14ac:dyDescent="0.25">
      <c r="A65" s="2">
        <v>45078</v>
      </c>
      <c r="B65" t="s">
        <v>7</v>
      </c>
      <c r="C65" t="s">
        <v>11</v>
      </c>
      <c r="D65">
        <v>76</v>
      </c>
      <c r="E65">
        <v>42506.85</v>
      </c>
      <c r="F65">
        <v>3230520.34</v>
      </c>
      <c r="G65">
        <v>2033081.54</v>
      </c>
    </row>
    <row r="66" spans="1:7" x14ac:dyDescent="0.25">
      <c r="A66" s="2">
        <v>45078</v>
      </c>
      <c r="B66" t="s">
        <v>12</v>
      </c>
      <c r="C66" t="s">
        <v>8</v>
      </c>
      <c r="D66">
        <v>154</v>
      </c>
      <c r="E66">
        <v>14093.44</v>
      </c>
      <c r="F66">
        <v>2170390.2400000002</v>
      </c>
      <c r="G66">
        <v>1225732.3</v>
      </c>
    </row>
    <row r="67" spans="1:7" x14ac:dyDescent="0.25">
      <c r="A67" s="2">
        <v>45078</v>
      </c>
      <c r="B67" t="s">
        <v>12</v>
      </c>
      <c r="C67" t="s">
        <v>9</v>
      </c>
      <c r="D67">
        <v>239</v>
      </c>
      <c r="E67">
        <v>13742.7</v>
      </c>
      <c r="F67">
        <v>3284505.73</v>
      </c>
      <c r="G67">
        <v>1939651.54</v>
      </c>
    </row>
    <row r="68" spans="1:7" x14ac:dyDescent="0.25">
      <c r="A68" s="2">
        <v>45078</v>
      </c>
      <c r="B68" t="s">
        <v>12</v>
      </c>
      <c r="C68" t="s">
        <v>10</v>
      </c>
      <c r="D68">
        <v>233</v>
      </c>
      <c r="E68">
        <v>14760.91</v>
      </c>
      <c r="F68">
        <v>3439291.31</v>
      </c>
      <c r="G68">
        <v>2033372.45</v>
      </c>
    </row>
    <row r="69" spans="1:7" x14ac:dyDescent="0.25">
      <c r="A69" s="2">
        <v>45078</v>
      </c>
      <c r="B69" t="s">
        <v>12</v>
      </c>
      <c r="C69" t="s">
        <v>11</v>
      </c>
      <c r="D69">
        <v>234</v>
      </c>
      <c r="E69">
        <v>14332.84</v>
      </c>
      <c r="F69">
        <v>3353883.93</v>
      </c>
      <c r="G69">
        <v>1895541.15</v>
      </c>
    </row>
    <row r="70" spans="1:7" x14ac:dyDescent="0.25">
      <c r="A70" s="2">
        <v>45078</v>
      </c>
      <c r="B70" t="s">
        <v>13</v>
      </c>
      <c r="C70" t="s">
        <v>8</v>
      </c>
      <c r="D70">
        <v>190</v>
      </c>
      <c r="E70">
        <v>6102.72</v>
      </c>
      <c r="F70">
        <v>1159517.54</v>
      </c>
      <c r="G70">
        <v>744493.4</v>
      </c>
    </row>
    <row r="71" spans="1:7" x14ac:dyDescent="0.25">
      <c r="A71" s="2">
        <v>45078</v>
      </c>
      <c r="B71" t="s">
        <v>13</v>
      </c>
      <c r="C71" t="s">
        <v>9</v>
      </c>
      <c r="D71">
        <v>338</v>
      </c>
      <c r="E71">
        <v>6326.61</v>
      </c>
      <c r="F71">
        <v>2138392.94</v>
      </c>
      <c r="G71">
        <v>1359670.81</v>
      </c>
    </row>
    <row r="72" spans="1:7" x14ac:dyDescent="0.25">
      <c r="A72" s="2">
        <v>45078</v>
      </c>
      <c r="B72" t="s">
        <v>13</v>
      </c>
      <c r="C72" t="s">
        <v>10</v>
      </c>
      <c r="D72">
        <v>364</v>
      </c>
      <c r="E72">
        <v>6350.13</v>
      </c>
      <c r="F72">
        <v>2311445.77</v>
      </c>
      <c r="G72">
        <v>1481730.44</v>
      </c>
    </row>
    <row r="73" spans="1:7" x14ac:dyDescent="0.25">
      <c r="A73" s="2">
        <v>45078</v>
      </c>
      <c r="B73" t="s">
        <v>13</v>
      </c>
      <c r="C73" t="s">
        <v>11</v>
      </c>
      <c r="D73">
        <v>309</v>
      </c>
      <c r="E73">
        <v>5972.41</v>
      </c>
      <c r="F73">
        <v>1845474.42</v>
      </c>
      <c r="G73">
        <v>1147758.1399999999</v>
      </c>
    </row>
    <row r="74" spans="1:7" x14ac:dyDescent="0.25">
      <c r="A74" s="2">
        <v>45108</v>
      </c>
      <c r="B74" t="s">
        <v>7</v>
      </c>
      <c r="C74" t="s">
        <v>8</v>
      </c>
      <c r="D74">
        <v>132</v>
      </c>
      <c r="E74">
        <v>42194.7</v>
      </c>
      <c r="F74">
        <v>5569700.4699999997</v>
      </c>
      <c r="G74">
        <v>3278809.5</v>
      </c>
    </row>
    <row r="75" spans="1:7" x14ac:dyDescent="0.25">
      <c r="A75" s="2">
        <v>45108</v>
      </c>
      <c r="B75" t="s">
        <v>7</v>
      </c>
      <c r="C75" t="s">
        <v>9</v>
      </c>
      <c r="D75">
        <v>112</v>
      </c>
      <c r="E75">
        <v>41239.129999999997</v>
      </c>
      <c r="F75">
        <v>4618782.8</v>
      </c>
      <c r="G75">
        <v>2934373.24</v>
      </c>
    </row>
    <row r="76" spans="1:7" x14ac:dyDescent="0.25">
      <c r="A76" s="2">
        <v>45108</v>
      </c>
      <c r="B76" t="s">
        <v>7</v>
      </c>
      <c r="C76" t="s">
        <v>10</v>
      </c>
      <c r="D76">
        <v>92</v>
      </c>
      <c r="E76">
        <v>41929.440000000002</v>
      </c>
      <c r="F76">
        <v>3857508.35</v>
      </c>
      <c r="G76">
        <v>2488707.5299999998</v>
      </c>
    </row>
    <row r="77" spans="1:7" x14ac:dyDescent="0.25">
      <c r="A77" s="2">
        <v>45108</v>
      </c>
      <c r="B77" t="s">
        <v>7</v>
      </c>
      <c r="C77" t="s">
        <v>11</v>
      </c>
      <c r="D77">
        <v>127</v>
      </c>
      <c r="E77">
        <v>42340.27</v>
      </c>
      <c r="F77">
        <v>5377213.9299999997</v>
      </c>
      <c r="G77">
        <v>3485821.63</v>
      </c>
    </row>
    <row r="78" spans="1:7" x14ac:dyDescent="0.25">
      <c r="A78" s="2">
        <v>45108</v>
      </c>
      <c r="B78" t="s">
        <v>12</v>
      </c>
      <c r="C78" t="s">
        <v>8</v>
      </c>
      <c r="D78">
        <v>250</v>
      </c>
      <c r="E78">
        <v>14207.29</v>
      </c>
      <c r="F78">
        <v>3551822.52</v>
      </c>
      <c r="G78">
        <v>2055232.91</v>
      </c>
    </row>
    <row r="79" spans="1:7" x14ac:dyDescent="0.25">
      <c r="A79" s="2">
        <v>45108</v>
      </c>
      <c r="B79" t="s">
        <v>12</v>
      </c>
      <c r="C79" t="s">
        <v>9</v>
      </c>
      <c r="D79">
        <v>210</v>
      </c>
      <c r="E79">
        <v>14938.23</v>
      </c>
      <c r="F79">
        <v>3137028.56</v>
      </c>
      <c r="G79">
        <v>1806056.74</v>
      </c>
    </row>
    <row r="80" spans="1:7" x14ac:dyDescent="0.25">
      <c r="A80" s="2">
        <v>45108</v>
      </c>
      <c r="B80" t="s">
        <v>12</v>
      </c>
      <c r="C80" t="s">
        <v>10</v>
      </c>
      <c r="D80">
        <v>124</v>
      </c>
      <c r="E80">
        <v>14712.95</v>
      </c>
      <c r="F80">
        <v>1824405.77</v>
      </c>
      <c r="G80">
        <v>1050251.81</v>
      </c>
    </row>
    <row r="81" spans="1:7" x14ac:dyDescent="0.25">
      <c r="A81" s="2">
        <v>45108</v>
      </c>
      <c r="B81" t="s">
        <v>12</v>
      </c>
      <c r="C81" t="s">
        <v>11</v>
      </c>
      <c r="D81">
        <v>262</v>
      </c>
      <c r="E81">
        <v>13669.28</v>
      </c>
      <c r="F81">
        <v>3581350.68</v>
      </c>
      <c r="G81">
        <v>2213314.23</v>
      </c>
    </row>
    <row r="82" spans="1:7" x14ac:dyDescent="0.25">
      <c r="A82" s="2">
        <v>45108</v>
      </c>
      <c r="B82" t="s">
        <v>13</v>
      </c>
      <c r="C82" t="s">
        <v>8</v>
      </c>
      <c r="D82">
        <v>268</v>
      </c>
      <c r="E82">
        <v>5880.96</v>
      </c>
      <c r="F82">
        <v>1576097.68</v>
      </c>
      <c r="G82">
        <v>1011254.91</v>
      </c>
    </row>
    <row r="83" spans="1:7" x14ac:dyDescent="0.25">
      <c r="A83" s="2">
        <v>45108</v>
      </c>
      <c r="B83" t="s">
        <v>13</v>
      </c>
      <c r="C83" t="s">
        <v>9</v>
      </c>
      <c r="D83">
        <v>393</v>
      </c>
      <c r="E83">
        <v>6161.89</v>
      </c>
      <c r="F83">
        <v>2421620.98</v>
      </c>
      <c r="G83">
        <v>1593189.74</v>
      </c>
    </row>
    <row r="84" spans="1:7" x14ac:dyDescent="0.25">
      <c r="A84" s="2">
        <v>45108</v>
      </c>
      <c r="B84" t="s">
        <v>13</v>
      </c>
      <c r="C84" t="s">
        <v>10</v>
      </c>
      <c r="D84">
        <v>281</v>
      </c>
      <c r="E84">
        <v>6392.19</v>
      </c>
      <c r="F84">
        <v>1796206.66</v>
      </c>
      <c r="G84">
        <v>1139712.2</v>
      </c>
    </row>
    <row r="85" spans="1:7" x14ac:dyDescent="0.25">
      <c r="A85" s="2">
        <v>45108</v>
      </c>
      <c r="B85" t="s">
        <v>13</v>
      </c>
      <c r="C85" t="s">
        <v>11</v>
      </c>
      <c r="D85">
        <v>350</v>
      </c>
      <c r="E85">
        <v>6464.14</v>
      </c>
      <c r="F85">
        <v>2262450.41</v>
      </c>
      <c r="G85">
        <v>1467546.9</v>
      </c>
    </row>
    <row r="86" spans="1:7" x14ac:dyDescent="0.25">
      <c r="A86" s="2">
        <v>45139</v>
      </c>
      <c r="B86" t="s">
        <v>7</v>
      </c>
      <c r="C86" t="s">
        <v>8</v>
      </c>
      <c r="D86">
        <v>93</v>
      </c>
      <c r="E86">
        <v>41308.120000000003</v>
      </c>
      <c r="F86">
        <v>3841655.05</v>
      </c>
      <c r="G86">
        <v>2414303.87</v>
      </c>
    </row>
    <row r="87" spans="1:7" x14ac:dyDescent="0.25">
      <c r="A87" s="2">
        <v>45139</v>
      </c>
      <c r="B87" t="s">
        <v>7</v>
      </c>
      <c r="C87" t="s">
        <v>9</v>
      </c>
      <c r="D87">
        <v>76</v>
      </c>
      <c r="E87">
        <v>41801.68</v>
      </c>
      <c r="F87">
        <v>3176928.06</v>
      </c>
      <c r="G87">
        <v>1942196.48</v>
      </c>
    </row>
    <row r="88" spans="1:7" x14ac:dyDescent="0.25">
      <c r="A88" s="2">
        <v>45139</v>
      </c>
      <c r="B88" t="s">
        <v>7</v>
      </c>
      <c r="C88" t="s">
        <v>10</v>
      </c>
      <c r="D88">
        <v>59</v>
      </c>
      <c r="E88">
        <v>42370.18</v>
      </c>
      <c r="F88">
        <v>2499840.52</v>
      </c>
      <c r="G88">
        <v>1597487.1</v>
      </c>
    </row>
    <row r="89" spans="1:7" x14ac:dyDescent="0.25">
      <c r="A89" s="2">
        <v>45139</v>
      </c>
      <c r="B89" t="s">
        <v>7</v>
      </c>
      <c r="C89" t="s">
        <v>11</v>
      </c>
      <c r="D89">
        <v>96</v>
      </c>
      <c r="E89">
        <v>40446.71</v>
      </c>
      <c r="F89">
        <v>3882884.27</v>
      </c>
      <c r="G89">
        <v>2439378.39</v>
      </c>
    </row>
    <row r="90" spans="1:7" x14ac:dyDescent="0.25">
      <c r="A90" s="2">
        <v>45139</v>
      </c>
      <c r="B90" t="s">
        <v>12</v>
      </c>
      <c r="C90" t="s">
        <v>8</v>
      </c>
      <c r="D90">
        <v>96</v>
      </c>
      <c r="E90">
        <v>14270.46</v>
      </c>
      <c r="F90">
        <v>1369964.02</v>
      </c>
      <c r="G90">
        <v>792966.12</v>
      </c>
    </row>
    <row r="91" spans="1:7" x14ac:dyDescent="0.25">
      <c r="A91" s="2">
        <v>45139</v>
      </c>
      <c r="B91" t="s">
        <v>12</v>
      </c>
      <c r="C91" t="s">
        <v>9</v>
      </c>
      <c r="D91">
        <v>162</v>
      </c>
      <c r="E91">
        <v>13912.13</v>
      </c>
      <c r="F91">
        <v>2253765.39</v>
      </c>
      <c r="G91">
        <v>1324277.27</v>
      </c>
    </row>
    <row r="92" spans="1:7" x14ac:dyDescent="0.25">
      <c r="A92" s="2">
        <v>45139</v>
      </c>
      <c r="B92" t="s">
        <v>12</v>
      </c>
      <c r="C92" t="s">
        <v>10</v>
      </c>
      <c r="D92">
        <v>191</v>
      </c>
      <c r="E92">
        <v>14428.22</v>
      </c>
      <c r="F92">
        <v>2755789.92</v>
      </c>
      <c r="G92">
        <v>1658689.64</v>
      </c>
    </row>
    <row r="93" spans="1:7" x14ac:dyDescent="0.25">
      <c r="A93" s="2">
        <v>45139</v>
      </c>
      <c r="B93" t="s">
        <v>12</v>
      </c>
      <c r="C93" t="s">
        <v>11</v>
      </c>
      <c r="D93">
        <v>170</v>
      </c>
      <c r="E93">
        <v>14690.86</v>
      </c>
      <c r="F93">
        <v>2497446.71</v>
      </c>
      <c r="G93">
        <v>1357528.41</v>
      </c>
    </row>
    <row r="94" spans="1:7" x14ac:dyDescent="0.25">
      <c r="A94" s="2">
        <v>45139</v>
      </c>
      <c r="B94" t="s">
        <v>13</v>
      </c>
      <c r="C94" t="s">
        <v>8</v>
      </c>
      <c r="D94">
        <v>346</v>
      </c>
      <c r="E94">
        <v>6060.38</v>
      </c>
      <c r="F94">
        <v>2096892.84</v>
      </c>
      <c r="G94">
        <v>1370875.52</v>
      </c>
    </row>
    <row r="95" spans="1:7" x14ac:dyDescent="0.25">
      <c r="A95" s="2">
        <v>45139</v>
      </c>
      <c r="B95" t="s">
        <v>13</v>
      </c>
      <c r="C95" t="s">
        <v>9</v>
      </c>
      <c r="D95">
        <v>227</v>
      </c>
      <c r="E95">
        <v>6339.55</v>
      </c>
      <c r="F95">
        <v>1439077.55</v>
      </c>
      <c r="G95">
        <v>918389.56</v>
      </c>
    </row>
    <row r="96" spans="1:7" x14ac:dyDescent="0.25">
      <c r="A96" s="2">
        <v>45139</v>
      </c>
      <c r="B96" t="s">
        <v>13</v>
      </c>
      <c r="C96" t="s">
        <v>10</v>
      </c>
      <c r="D96">
        <v>379</v>
      </c>
      <c r="E96">
        <v>6420.22</v>
      </c>
      <c r="F96">
        <v>2433262.34</v>
      </c>
      <c r="G96">
        <v>1574747.52</v>
      </c>
    </row>
    <row r="97" spans="1:7" x14ac:dyDescent="0.25">
      <c r="A97" s="2">
        <v>45139</v>
      </c>
      <c r="B97" t="s">
        <v>13</v>
      </c>
      <c r="C97" t="s">
        <v>11</v>
      </c>
      <c r="D97">
        <v>232</v>
      </c>
      <c r="E97">
        <v>6268.9</v>
      </c>
      <c r="F97">
        <v>1454383.81</v>
      </c>
      <c r="G97">
        <v>907639.2</v>
      </c>
    </row>
    <row r="98" spans="1:7" x14ac:dyDescent="0.25">
      <c r="A98" s="2">
        <v>45170</v>
      </c>
      <c r="B98" t="s">
        <v>7</v>
      </c>
      <c r="C98" t="s">
        <v>8</v>
      </c>
      <c r="D98">
        <v>109</v>
      </c>
      <c r="E98">
        <v>41159.08</v>
      </c>
      <c r="F98">
        <v>4486339.4400000004</v>
      </c>
      <c r="G98">
        <v>2695508.92</v>
      </c>
    </row>
    <row r="99" spans="1:7" x14ac:dyDescent="0.25">
      <c r="A99" s="2">
        <v>45170</v>
      </c>
      <c r="B99" t="s">
        <v>7</v>
      </c>
      <c r="C99" t="s">
        <v>9</v>
      </c>
      <c r="D99">
        <v>79</v>
      </c>
      <c r="E99">
        <v>42408.08</v>
      </c>
      <c r="F99">
        <v>3350238.38</v>
      </c>
      <c r="G99">
        <v>2070905.15</v>
      </c>
    </row>
    <row r="100" spans="1:7" x14ac:dyDescent="0.25">
      <c r="A100" s="2">
        <v>45170</v>
      </c>
      <c r="B100" t="s">
        <v>7</v>
      </c>
      <c r="C100" t="s">
        <v>10</v>
      </c>
      <c r="D100">
        <v>115</v>
      </c>
      <c r="E100">
        <v>41456.36</v>
      </c>
      <c r="F100">
        <v>4767481.46</v>
      </c>
      <c r="G100">
        <v>3072447.71</v>
      </c>
    </row>
    <row r="101" spans="1:7" x14ac:dyDescent="0.25">
      <c r="A101" s="2">
        <v>45170</v>
      </c>
      <c r="B101" t="s">
        <v>7</v>
      </c>
      <c r="C101" t="s">
        <v>11</v>
      </c>
      <c r="D101">
        <v>63</v>
      </c>
      <c r="E101">
        <v>41897.440000000002</v>
      </c>
      <c r="F101">
        <v>2639538.77</v>
      </c>
      <c r="G101">
        <v>1583520.69</v>
      </c>
    </row>
    <row r="102" spans="1:7" x14ac:dyDescent="0.25">
      <c r="A102" s="2">
        <v>45170</v>
      </c>
      <c r="B102" t="s">
        <v>12</v>
      </c>
      <c r="C102" t="s">
        <v>8</v>
      </c>
      <c r="D102">
        <v>194</v>
      </c>
      <c r="E102">
        <v>15013.82</v>
      </c>
      <c r="F102">
        <v>2912680.79</v>
      </c>
      <c r="G102">
        <v>1698158.14</v>
      </c>
    </row>
    <row r="103" spans="1:7" x14ac:dyDescent="0.25">
      <c r="A103" s="2">
        <v>45170</v>
      </c>
      <c r="B103" t="s">
        <v>12</v>
      </c>
      <c r="C103" t="s">
        <v>9</v>
      </c>
      <c r="D103">
        <v>226</v>
      </c>
      <c r="E103">
        <v>14684.53</v>
      </c>
      <c r="F103">
        <v>3318704.67</v>
      </c>
      <c r="G103">
        <v>1933492.98</v>
      </c>
    </row>
    <row r="104" spans="1:7" x14ac:dyDescent="0.25">
      <c r="A104" s="2">
        <v>45170</v>
      </c>
      <c r="B104" t="s">
        <v>12</v>
      </c>
      <c r="C104" t="s">
        <v>10</v>
      </c>
      <c r="D104">
        <v>225</v>
      </c>
      <c r="E104">
        <v>14558.48</v>
      </c>
      <c r="F104">
        <v>3275657.95</v>
      </c>
      <c r="G104">
        <v>1900670.66</v>
      </c>
    </row>
    <row r="105" spans="1:7" x14ac:dyDescent="0.25">
      <c r="A105" s="2">
        <v>45170</v>
      </c>
      <c r="B105" t="s">
        <v>12</v>
      </c>
      <c r="C105" t="s">
        <v>11</v>
      </c>
      <c r="D105">
        <v>170</v>
      </c>
      <c r="E105">
        <v>14708.46</v>
      </c>
      <c r="F105">
        <v>2500438.54</v>
      </c>
      <c r="G105">
        <v>1389448.51</v>
      </c>
    </row>
    <row r="106" spans="1:7" x14ac:dyDescent="0.25">
      <c r="A106" s="2">
        <v>45170</v>
      </c>
      <c r="B106" t="s">
        <v>13</v>
      </c>
      <c r="C106" t="s">
        <v>8</v>
      </c>
      <c r="D106">
        <v>377</v>
      </c>
      <c r="E106">
        <v>5865.2</v>
      </c>
      <c r="F106">
        <v>2211178.8199999998</v>
      </c>
      <c r="G106">
        <v>1410884.01</v>
      </c>
    </row>
    <row r="107" spans="1:7" x14ac:dyDescent="0.25">
      <c r="A107" s="2">
        <v>45170</v>
      </c>
      <c r="B107" t="s">
        <v>13</v>
      </c>
      <c r="C107" t="s">
        <v>9</v>
      </c>
      <c r="D107">
        <v>345</v>
      </c>
      <c r="E107">
        <v>6093.66</v>
      </c>
      <c r="F107">
        <v>2102313.83</v>
      </c>
      <c r="G107">
        <v>1356329.28</v>
      </c>
    </row>
    <row r="108" spans="1:7" x14ac:dyDescent="0.25">
      <c r="A108" s="2">
        <v>45170</v>
      </c>
      <c r="B108" t="s">
        <v>13</v>
      </c>
      <c r="C108" t="s">
        <v>10</v>
      </c>
      <c r="D108">
        <v>248</v>
      </c>
      <c r="E108">
        <v>6118.71</v>
      </c>
      <c r="F108">
        <v>1517441.05</v>
      </c>
      <c r="G108">
        <v>1002341.86</v>
      </c>
    </row>
    <row r="109" spans="1:7" x14ac:dyDescent="0.25">
      <c r="A109" s="2">
        <v>45170</v>
      </c>
      <c r="B109" t="s">
        <v>13</v>
      </c>
      <c r="C109" t="s">
        <v>11</v>
      </c>
      <c r="D109">
        <v>345</v>
      </c>
      <c r="E109">
        <v>6104.23</v>
      </c>
      <c r="F109">
        <v>2105957.69</v>
      </c>
      <c r="G109">
        <v>1315061.56</v>
      </c>
    </row>
    <row r="110" spans="1:7" x14ac:dyDescent="0.25">
      <c r="A110" s="2">
        <v>45200</v>
      </c>
      <c r="B110" t="s">
        <v>7</v>
      </c>
      <c r="C110" t="s">
        <v>8</v>
      </c>
      <c r="D110">
        <v>116</v>
      </c>
      <c r="E110">
        <v>41124.39</v>
      </c>
      <c r="F110">
        <v>4770428.67</v>
      </c>
      <c r="G110">
        <v>2991832.39</v>
      </c>
    </row>
    <row r="111" spans="1:7" x14ac:dyDescent="0.25">
      <c r="A111" s="2">
        <v>45200</v>
      </c>
      <c r="B111" t="s">
        <v>7</v>
      </c>
      <c r="C111" t="s">
        <v>9</v>
      </c>
      <c r="D111">
        <v>101</v>
      </c>
      <c r="E111">
        <v>41344.21</v>
      </c>
      <c r="F111">
        <v>4175765.21</v>
      </c>
      <c r="G111">
        <v>2640557.23</v>
      </c>
    </row>
    <row r="112" spans="1:7" x14ac:dyDescent="0.25">
      <c r="A112" s="2">
        <v>45200</v>
      </c>
      <c r="B112" t="s">
        <v>7</v>
      </c>
      <c r="C112" t="s">
        <v>10</v>
      </c>
      <c r="D112">
        <v>154</v>
      </c>
      <c r="E112">
        <v>39838</v>
      </c>
      <c r="F112">
        <v>6135051.5099999998</v>
      </c>
      <c r="G112">
        <v>3714481.51</v>
      </c>
    </row>
    <row r="113" spans="1:7" x14ac:dyDescent="0.25">
      <c r="A113" s="2">
        <v>45200</v>
      </c>
      <c r="B113" t="s">
        <v>7</v>
      </c>
      <c r="C113" t="s">
        <v>11</v>
      </c>
      <c r="D113">
        <v>88</v>
      </c>
      <c r="E113">
        <v>41290.74</v>
      </c>
      <c r="F113">
        <v>3633585.24</v>
      </c>
      <c r="G113">
        <v>2337823.5</v>
      </c>
    </row>
    <row r="114" spans="1:7" x14ac:dyDescent="0.25">
      <c r="A114" s="2">
        <v>45200</v>
      </c>
      <c r="B114" t="s">
        <v>12</v>
      </c>
      <c r="C114" t="s">
        <v>8</v>
      </c>
      <c r="D114">
        <v>173</v>
      </c>
      <c r="E114">
        <v>14658.26</v>
      </c>
      <c r="F114">
        <v>2535878.2200000002</v>
      </c>
      <c r="G114">
        <v>1489497.07</v>
      </c>
    </row>
    <row r="115" spans="1:7" x14ac:dyDescent="0.25">
      <c r="A115" s="2">
        <v>45200</v>
      </c>
      <c r="B115" t="s">
        <v>12</v>
      </c>
      <c r="C115" t="s">
        <v>9</v>
      </c>
      <c r="D115">
        <v>240</v>
      </c>
      <c r="E115">
        <v>14045.24</v>
      </c>
      <c r="F115">
        <v>3370856.62</v>
      </c>
      <c r="G115">
        <v>1933898.16</v>
      </c>
    </row>
    <row r="116" spans="1:7" x14ac:dyDescent="0.25">
      <c r="A116" s="2">
        <v>45200</v>
      </c>
      <c r="B116" t="s">
        <v>12</v>
      </c>
      <c r="C116" t="s">
        <v>10</v>
      </c>
      <c r="D116">
        <v>126</v>
      </c>
      <c r="E116">
        <v>13681.35</v>
      </c>
      <c r="F116">
        <v>1723849.51</v>
      </c>
      <c r="G116">
        <v>937818.23</v>
      </c>
    </row>
    <row r="117" spans="1:7" x14ac:dyDescent="0.25">
      <c r="A117" s="2">
        <v>45200</v>
      </c>
      <c r="B117" t="s">
        <v>12</v>
      </c>
      <c r="C117" t="s">
        <v>11</v>
      </c>
      <c r="D117">
        <v>142</v>
      </c>
      <c r="E117">
        <v>14276.41</v>
      </c>
      <c r="F117">
        <v>2027249.93</v>
      </c>
      <c r="G117">
        <v>1229615.56</v>
      </c>
    </row>
    <row r="118" spans="1:7" x14ac:dyDescent="0.25">
      <c r="A118" s="2">
        <v>45200</v>
      </c>
      <c r="B118" t="s">
        <v>13</v>
      </c>
      <c r="C118" t="s">
        <v>8</v>
      </c>
      <c r="D118">
        <v>312</v>
      </c>
      <c r="E118">
        <v>6171.83</v>
      </c>
      <c r="F118">
        <v>1925610.13</v>
      </c>
      <c r="G118">
        <v>1192074.29</v>
      </c>
    </row>
    <row r="119" spans="1:7" x14ac:dyDescent="0.25">
      <c r="A119" s="2">
        <v>45200</v>
      </c>
      <c r="B119" t="s">
        <v>13</v>
      </c>
      <c r="C119" t="s">
        <v>9</v>
      </c>
      <c r="D119">
        <v>206</v>
      </c>
      <c r="E119">
        <v>6283.36</v>
      </c>
      <c r="F119">
        <v>1294371.48</v>
      </c>
      <c r="G119">
        <v>867876.44</v>
      </c>
    </row>
    <row r="120" spans="1:7" x14ac:dyDescent="0.25">
      <c r="A120" s="2">
        <v>45200</v>
      </c>
      <c r="B120" t="s">
        <v>13</v>
      </c>
      <c r="C120" t="s">
        <v>10</v>
      </c>
      <c r="D120">
        <v>224</v>
      </c>
      <c r="E120">
        <v>6197.06</v>
      </c>
      <c r="F120">
        <v>1388141.38</v>
      </c>
      <c r="G120">
        <v>890082.39</v>
      </c>
    </row>
    <row r="121" spans="1:7" x14ac:dyDescent="0.25">
      <c r="A121" s="2">
        <v>45200</v>
      </c>
      <c r="B121" t="s">
        <v>13</v>
      </c>
      <c r="C121" t="s">
        <v>11</v>
      </c>
      <c r="D121">
        <v>247</v>
      </c>
      <c r="E121">
        <v>6440.27</v>
      </c>
      <c r="F121">
        <v>1590746.03</v>
      </c>
      <c r="G121">
        <v>1076769.7</v>
      </c>
    </row>
    <row r="122" spans="1:7" x14ac:dyDescent="0.25">
      <c r="A122" s="2">
        <v>45231</v>
      </c>
      <c r="B122" t="s">
        <v>7</v>
      </c>
      <c r="C122" t="s">
        <v>8</v>
      </c>
      <c r="D122">
        <v>135</v>
      </c>
      <c r="E122">
        <v>43713.66</v>
      </c>
      <c r="F122">
        <v>5901343.9299999997</v>
      </c>
      <c r="G122">
        <v>3736729.04</v>
      </c>
    </row>
    <row r="123" spans="1:7" x14ac:dyDescent="0.25">
      <c r="A123" s="2">
        <v>45231</v>
      </c>
      <c r="B123" t="s">
        <v>7</v>
      </c>
      <c r="C123" t="s">
        <v>9</v>
      </c>
      <c r="D123">
        <v>62</v>
      </c>
      <c r="E123">
        <v>41561.11</v>
      </c>
      <c r="F123">
        <v>2576788.7000000002</v>
      </c>
      <c r="G123">
        <v>1587181.47</v>
      </c>
    </row>
    <row r="124" spans="1:7" x14ac:dyDescent="0.25">
      <c r="A124" s="2">
        <v>45231</v>
      </c>
      <c r="B124" t="s">
        <v>7</v>
      </c>
      <c r="C124" t="s">
        <v>10</v>
      </c>
      <c r="D124">
        <v>102</v>
      </c>
      <c r="E124">
        <v>43314.11</v>
      </c>
      <c r="F124">
        <v>4418039.5</v>
      </c>
      <c r="G124">
        <v>2699429.21</v>
      </c>
    </row>
    <row r="125" spans="1:7" x14ac:dyDescent="0.25">
      <c r="A125" s="2">
        <v>45231</v>
      </c>
      <c r="B125" t="s">
        <v>7</v>
      </c>
      <c r="C125" t="s">
        <v>11</v>
      </c>
      <c r="D125">
        <v>167</v>
      </c>
      <c r="E125">
        <v>41952.19</v>
      </c>
      <c r="F125">
        <v>7006015.5300000003</v>
      </c>
      <c r="G125">
        <v>4400867.1100000003</v>
      </c>
    </row>
    <row r="126" spans="1:7" x14ac:dyDescent="0.25">
      <c r="A126" s="2">
        <v>45231</v>
      </c>
      <c r="B126" t="s">
        <v>12</v>
      </c>
      <c r="C126" t="s">
        <v>8</v>
      </c>
      <c r="D126">
        <v>268</v>
      </c>
      <c r="E126">
        <v>14831.81</v>
      </c>
      <c r="F126">
        <v>3974923.76</v>
      </c>
      <c r="G126">
        <v>2256978.2400000002</v>
      </c>
    </row>
    <row r="127" spans="1:7" x14ac:dyDescent="0.25">
      <c r="A127" s="2">
        <v>45231</v>
      </c>
      <c r="B127" t="s">
        <v>12</v>
      </c>
      <c r="C127" t="s">
        <v>9</v>
      </c>
      <c r="D127">
        <v>175</v>
      </c>
      <c r="E127">
        <v>14511</v>
      </c>
      <c r="F127">
        <v>2539424.81</v>
      </c>
      <c r="G127">
        <v>1372491.98</v>
      </c>
    </row>
    <row r="128" spans="1:7" x14ac:dyDescent="0.25">
      <c r="A128" s="2">
        <v>45231</v>
      </c>
      <c r="B128" t="s">
        <v>12</v>
      </c>
      <c r="C128" t="s">
        <v>10</v>
      </c>
      <c r="D128">
        <v>180</v>
      </c>
      <c r="E128">
        <v>14335.69</v>
      </c>
      <c r="F128">
        <v>2580424.7000000002</v>
      </c>
      <c r="G128">
        <v>1488985.48</v>
      </c>
    </row>
    <row r="129" spans="1:7" x14ac:dyDescent="0.25">
      <c r="A129" s="2">
        <v>45231</v>
      </c>
      <c r="B129" t="s">
        <v>12</v>
      </c>
      <c r="C129" t="s">
        <v>11</v>
      </c>
      <c r="D129">
        <v>200</v>
      </c>
      <c r="E129">
        <v>15116.31</v>
      </c>
      <c r="F129">
        <v>3023261.38</v>
      </c>
      <c r="G129">
        <v>1844341.87</v>
      </c>
    </row>
    <row r="130" spans="1:7" x14ac:dyDescent="0.25">
      <c r="A130" s="2">
        <v>45231</v>
      </c>
      <c r="B130" t="s">
        <v>13</v>
      </c>
      <c r="C130" t="s">
        <v>8</v>
      </c>
      <c r="D130">
        <v>344</v>
      </c>
      <c r="E130">
        <v>6076.45</v>
      </c>
      <c r="F130">
        <v>2090300.24</v>
      </c>
      <c r="G130">
        <v>1317963.49</v>
      </c>
    </row>
    <row r="131" spans="1:7" x14ac:dyDescent="0.25">
      <c r="A131" s="2">
        <v>45231</v>
      </c>
      <c r="B131" t="s">
        <v>13</v>
      </c>
      <c r="C131" t="s">
        <v>9</v>
      </c>
      <c r="D131">
        <v>367</v>
      </c>
      <c r="E131">
        <v>6106.78</v>
      </c>
      <c r="F131">
        <v>2241186.7400000002</v>
      </c>
      <c r="G131">
        <v>1418953.66</v>
      </c>
    </row>
    <row r="132" spans="1:7" x14ac:dyDescent="0.25">
      <c r="A132" s="2">
        <v>45231</v>
      </c>
      <c r="B132" t="s">
        <v>13</v>
      </c>
      <c r="C132" t="s">
        <v>10</v>
      </c>
      <c r="D132">
        <v>187</v>
      </c>
      <c r="E132">
        <v>6371.08</v>
      </c>
      <c r="F132">
        <v>1191391.73</v>
      </c>
      <c r="G132">
        <v>767340.25</v>
      </c>
    </row>
    <row r="133" spans="1:7" x14ac:dyDescent="0.25">
      <c r="A133" s="2">
        <v>45231</v>
      </c>
      <c r="B133" t="s">
        <v>13</v>
      </c>
      <c r="C133" t="s">
        <v>11</v>
      </c>
      <c r="D133">
        <v>380</v>
      </c>
      <c r="E133">
        <v>6328.57</v>
      </c>
      <c r="F133">
        <v>2404857.81</v>
      </c>
      <c r="G133">
        <v>1561595.16</v>
      </c>
    </row>
    <row r="134" spans="1:7" x14ac:dyDescent="0.25">
      <c r="A134" s="2">
        <v>45261</v>
      </c>
      <c r="B134" t="s">
        <v>7</v>
      </c>
      <c r="C134" t="s">
        <v>8</v>
      </c>
      <c r="D134">
        <v>119</v>
      </c>
      <c r="E134">
        <v>43102.33</v>
      </c>
      <c r="F134">
        <v>5129177.1500000004</v>
      </c>
      <c r="G134">
        <v>3036526.73</v>
      </c>
    </row>
    <row r="135" spans="1:7" x14ac:dyDescent="0.25">
      <c r="A135" s="2">
        <v>45261</v>
      </c>
      <c r="B135" t="s">
        <v>7</v>
      </c>
      <c r="C135" t="s">
        <v>9</v>
      </c>
      <c r="D135">
        <v>83</v>
      </c>
      <c r="E135">
        <v>42327.91</v>
      </c>
      <c r="F135">
        <v>3513216.65</v>
      </c>
      <c r="G135">
        <v>2365703.58</v>
      </c>
    </row>
    <row r="136" spans="1:7" x14ac:dyDescent="0.25">
      <c r="A136" s="2">
        <v>45261</v>
      </c>
      <c r="B136" t="s">
        <v>7</v>
      </c>
      <c r="C136" t="s">
        <v>10</v>
      </c>
      <c r="D136">
        <v>97</v>
      </c>
      <c r="E136">
        <v>42268.85</v>
      </c>
      <c r="F136">
        <v>4100078.03</v>
      </c>
      <c r="G136">
        <v>2479469.7400000002</v>
      </c>
    </row>
    <row r="137" spans="1:7" x14ac:dyDescent="0.25">
      <c r="A137" s="2">
        <v>45261</v>
      </c>
      <c r="B137" t="s">
        <v>7</v>
      </c>
      <c r="C137" t="s">
        <v>11</v>
      </c>
      <c r="D137">
        <v>115</v>
      </c>
      <c r="E137">
        <v>41981.69</v>
      </c>
      <c r="F137">
        <v>4827894.79</v>
      </c>
      <c r="G137">
        <v>2986743.82</v>
      </c>
    </row>
    <row r="138" spans="1:7" x14ac:dyDescent="0.25">
      <c r="A138" s="2">
        <v>45261</v>
      </c>
      <c r="B138" t="s">
        <v>12</v>
      </c>
      <c r="C138" t="s">
        <v>8</v>
      </c>
      <c r="D138">
        <v>244</v>
      </c>
      <c r="E138">
        <v>14957.32</v>
      </c>
      <c r="F138">
        <v>3649586.96</v>
      </c>
      <c r="G138">
        <v>2127874.98</v>
      </c>
    </row>
    <row r="139" spans="1:7" x14ac:dyDescent="0.25">
      <c r="A139" s="2">
        <v>45261</v>
      </c>
      <c r="B139" t="s">
        <v>12</v>
      </c>
      <c r="C139" t="s">
        <v>9</v>
      </c>
      <c r="D139">
        <v>103</v>
      </c>
      <c r="E139">
        <v>15052.66</v>
      </c>
      <c r="F139">
        <v>1550424.4</v>
      </c>
      <c r="G139">
        <v>930452.63</v>
      </c>
    </row>
    <row r="140" spans="1:7" x14ac:dyDescent="0.25">
      <c r="A140" s="2">
        <v>45261</v>
      </c>
      <c r="B140" t="s">
        <v>12</v>
      </c>
      <c r="C140" t="s">
        <v>10</v>
      </c>
      <c r="D140">
        <v>173</v>
      </c>
      <c r="E140">
        <v>14657.27</v>
      </c>
      <c r="F140">
        <v>2535708.2000000002</v>
      </c>
      <c r="G140">
        <v>1533697.82</v>
      </c>
    </row>
    <row r="141" spans="1:7" x14ac:dyDescent="0.25">
      <c r="A141" s="2">
        <v>45261</v>
      </c>
      <c r="B141" t="s">
        <v>12</v>
      </c>
      <c r="C141" t="s">
        <v>11</v>
      </c>
      <c r="D141">
        <v>133</v>
      </c>
      <c r="E141">
        <v>14182.81</v>
      </c>
      <c r="F141">
        <v>1886314.34</v>
      </c>
      <c r="G141">
        <v>1003464.42</v>
      </c>
    </row>
    <row r="142" spans="1:7" x14ac:dyDescent="0.25">
      <c r="A142" s="2">
        <v>45261</v>
      </c>
      <c r="B142" t="s">
        <v>13</v>
      </c>
      <c r="C142" t="s">
        <v>8</v>
      </c>
      <c r="D142">
        <v>325</v>
      </c>
      <c r="E142">
        <v>6022.84</v>
      </c>
      <c r="F142">
        <v>1957424.16</v>
      </c>
      <c r="G142">
        <v>1190679.92</v>
      </c>
    </row>
    <row r="143" spans="1:7" x14ac:dyDescent="0.25">
      <c r="A143" s="2">
        <v>45261</v>
      </c>
      <c r="B143" t="s">
        <v>13</v>
      </c>
      <c r="C143" t="s">
        <v>9</v>
      </c>
      <c r="D143">
        <v>219</v>
      </c>
      <c r="E143">
        <v>6317.35</v>
      </c>
      <c r="F143">
        <v>1383498.71</v>
      </c>
      <c r="G143">
        <v>926244.06</v>
      </c>
    </row>
    <row r="144" spans="1:7" x14ac:dyDescent="0.25">
      <c r="A144" s="2">
        <v>45261</v>
      </c>
      <c r="B144" t="s">
        <v>13</v>
      </c>
      <c r="C144" t="s">
        <v>10</v>
      </c>
      <c r="D144">
        <v>314</v>
      </c>
      <c r="E144">
        <v>6352.4</v>
      </c>
      <c r="F144">
        <v>1994652.45</v>
      </c>
      <c r="G144">
        <v>1300701.3799999999</v>
      </c>
    </row>
    <row r="145" spans="1:7" x14ac:dyDescent="0.25">
      <c r="A145" s="2">
        <v>45261</v>
      </c>
      <c r="B145" t="s">
        <v>13</v>
      </c>
      <c r="C145" t="s">
        <v>11</v>
      </c>
      <c r="D145">
        <v>254</v>
      </c>
      <c r="E145">
        <v>6440.94</v>
      </c>
      <c r="F145">
        <v>1635999.81</v>
      </c>
      <c r="G145">
        <v>1061357.95</v>
      </c>
    </row>
    <row r="146" spans="1:7" x14ac:dyDescent="0.25">
      <c r="A146" s="2">
        <v>45292</v>
      </c>
      <c r="B146" t="s">
        <v>7</v>
      </c>
      <c r="C146" t="s">
        <v>8</v>
      </c>
      <c r="D146">
        <v>151</v>
      </c>
      <c r="E146">
        <v>41916.07</v>
      </c>
      <c r="F146">
        <v>6329327.0199999996</v>
      </c>
      <c r="G146">
        <v>4028772.61</v>
      </c>
    </row>
    <row r="147" spans="1:7" x14ac:dyDescent="0.25">
      <c r="A147" s="2">
        <v>45292</v>
      </c>
      <c r="B147" t="s">
        <v>7</v>
      </c>
      <c r="C147" t="s">
        <v>9</v>
      </c>
      <c r="D147">
        <v>72</v>
      </c>
      <c r="E147">
        <v>42219.48</v>
      </c>
      <c r="F147">
        <v>3039802.25</v>
      </c>
      <c r="G147">
        <v>1876685.29</v>
      </c>
    </row>
    <row r="148" spans="1:7" x14ac:dyDescent="0.25">
      <c r="A148" s="2">
        <v>45292</v>
      </c>
      <c r="B148" t="s">
        <v>7</v>
      </c>
      <c r="C148" t="s">
        <v>10</v>
      </c>
      <c r="D148">
        <v>138</v>
      </c>
      <c r="E148">
        <v>43722.21</v>
      </c>
      <c r="F148">
        <v>6033664.96</v>
      </c>
      <c r="G148">
        <v>3922972.02</v>
      </c>
    </row>
    <row r="149" spans="1:7" x14ac:dyDescent="0.25">
      <c r="A149" s="2">
        <v>45292</v>
      </c>
      <c r="B149" t="s">
        <v>7</v>
      </c>
      <c r="C149" t="s">
        <v>11</v>
      </c>
      <c r="D149">
        <v>121</v>
      </c>
      <c r="E149">
        <v>42599.75</v>
      </c>
      <c r="F149">
        <v>5154569.53</v>
      </c>
      <c r="G149">
        <v>3159332.48</v>
      </c>
    </row>
    <row r="150" spans="1:7" x14ac:dyDescent="0.25">
      <c r="A150" s="2">
        <v>45292</v>
      </c>
      <c r="B150" t="s">
        <v>12</v>
      </c>
      <c r="C150" t="s">
        <v>8</v>
      </c>
      <c r="D150">
        <v>202</v>
      </c>
      <c r="E150">
        <v>14449.74</v>
      </c>
      <c r="F150">
        <v>2918847.93</v>
      </c>
      <c r="G150">
        <v>1669431.56</v>
      </c>
    </row>
    <row r="151" spans="1:7" x14ac:dyDescent="0.25">
      <c r="A151" s="2">
        <v>45292</v>
      </c>
      <c r="B151" t="s">
        <v>12</v>
      </c>
      <c r="C151" t="s">
        <v>9</v>
      </c>
      <c r="D151">
        <v>224</v>
      </c>
      <c r="E151">
        <v>14445.6</v>
      </c>
      <c r="F151">
        <v>3235814.99</v>
      </c>
      <c r="G151">
        <v>1971473.84</v>
      </c>
    </row>
    <row r="152" spans="1:7" x14ac:dyDescent="0.25">
      <c r="A152" s="2">
        <v>45292</v>
      </c>
      <c r="B152" t="s">
        <v>12</v>
      </c>
      <c r="C152" t="s">
        <v>10</v>
      </c>
      <c r="D152">
        <v>185</v>
      </c>
      <c r="E152">
        <v>14519.44</v>
      </c>
      <c r="F152">
        <v>2686096.73</v>
      </c>
      <c r="G152">
        <v>1569643.41</v>
      </c>
    </row>
    <row r="153" spans="1:7" x14ac:dyDescent="0.25">
      <c r="A153" s="2">
        <v>45292</v>
      </c>
      <c r="B153" t="s">
        <v>12</v>
      </c>
      <c r="C153" t="s">
        <v>11</v>
      </c>
      <c r="D153">
        <v>283</v>
      </c>
      <c r="E153">
        <v>14461.56</v>
      </c>
      <c r="F153">
        <v>4092621.95</v>
      </c>
      <c r="G153">
        <v>2360341.1</v>
      </c>
    </row>
    <row r="154" spans="1:7" x14ac:dyDescent="0.25">
      <c r="A154" s="2">
        <v>45292</v>
      </c>
      <c r="B154" t="s">
        <v>13</v>
      </c>
      <c r="C154" t="s">
        <v>8</v>
      </c>
      <c r="D154">
        <v>201</v>
      </c>
      <c r="E154">
        <v>6196.31</v>
      </c>
      <c r="F154">
        <v>1245458.74</v>
      </c>
      <c r="G154">
        <v>812422</v>
      </c>
    </row>
    <row r="155" spans="1:7" x14ac:dyDescent="0.25">
      <c r="A155" s="2">
        <v>45292</v>
      </c>
      <c r="B155" t="s">
        <v>13</v>
      </c>
      <c r="C155" t="s">
        <v>9</v>
      </c>
      <c r="D155">
        <v>320</v>
      </c>
      <c r="E155">
        <v>6248.76</v>
      </c>
      <c r="F155">
        <v>1999602.36</v>
      </c>
      <c r="G155">
        <v>1288763.26</v>
      </c>
    </row>
    <row r="156" spans="1:7" x14ac:dyDescent="0.25">
      <c r="A156" s="2">
        <v>45292</v>
      </c>
      <c r="B156" t="s">
        <v>13</v>
      </c>
      <c r="C156" t="s">
        <v>10</v>
      </c>
      <c r="D156">
        <v>247</v>
      </c>
      <c r="E156">
        <v>6176.22</v>
      </c>
      <c r="F156">
        <v>1525526.39</v>
      </c>
      <c r="G156">
        <v>1012990.33</v>
      </c>
    </row>
    <row r="157" spans="1:7" x14ac:dyDescent="0.25">
      <c r="A157" s="2">
        <v>45292</v>
      </c>
      <c r="B157" t="s">
        <v>13</v>
      </c>
      <c r="C157" t="s">
        <v>11</v>
      </c>
      <c r="D157">
        <v>314</v>
      </c>
      <c r="E157">
        <v>6197.47</v>
      </c>
      <c r="F157">
        <v>1946004.06</v>
      </c>
      <c r="G157">
        <v>1194030.57</v>
      </c>
    </row>
    <row r="158" spans="1:7" x14ac:dyDescent="0.25">
      <c r="A158" s="2">
        <v>45323</v>
      </c>
      <c r="B158" t="s">
        <v>7</v>
      </c>
      <c r="C158" t="s">
        <v>8</v>
      </c>
      <c r="D158">
        <v>58</v>
      </c>
      <c r="E158">
        <v>43312.36</v>
      </c>
      <c r="F158">
        <v>2512116.6</v>
      </c>
      <c r="G158">
        <v>1515415.02</v>
      </c>
    </row>
    <row r="159" spans="1:7" x14ac:dyDescent="0.25">
      <c r="A159" s="2">
        <v>45323</v>
      </c>
      <c r="B159" t="s">
        <v>7</v>
      </c>
      <c r="C159" t="s">
        <v>9</v>
      </c>
      <c r="D159">
        <v>103</v>
      </c>
      <c r="E159">
        <v>43075.37</v>
      </c>
      <c r="F159">
        <v>4436763.07</v>
      </c>
      <c r="G159">
        <v>2831787.81</v>
      </c>
    </row>
    <row r="160" spans="1:7" x14ac:dyDescent="0.25">
      <c r="A160" s="2">
        <v>45323</v>
      </c>
      <c r="B160" t="s">
        <v>7</v>
      </c>
      <c r="C160" t="s">
        <v>10</v>
      </c>
      <c r="D160">
        <v>162</v>
      </c>
      <c r="E160">
        <v>42680.59</v>
      </c>
      <c r="F160">
        <v>6914255.9100000001</v>
      </c>
      <c r="G160">
        <v>4353302.17</v>
      </c>
    </row>
    <row r="161" spans="1:7" x14ac:dyDescent="0.25">
      <c r="A161" s="2">
        <v>45323</v>
      </c>
      <c r="B161" t="s">
        <v>7</v>
      </c>
      <c r="C161" t="s">
        <v>11</v>
      </c>
      <c r="D161">
        <v>135</v>
      </c>
      <c r="E161">
        <v>42762.81</v>
      </c>
      <c r="F161">
        <v>5772980.0099999998</v>
      </c>
      <c r="G161">
        <v>3444012.61</v>
      </c>
    </row>
    <row r="162" spans="1:7" x14ac:dyDescent="0.25">
      <c r="A162" s="2">
        <v>45323</v>
      </c>
      <c r="B162" t="s">
        <v>12</v>
      </c>
      <c r="C162" t="s">
        <v>8</v>
      </c>
      <c r="D162">
        <v>99</v>
      </c>
      <c r="E162">
        <v>14486.63</v>
      </c>
      <c r="F162">
        <v>1434176.8</v>
      </c>
      <c r="G162">
        <v>849419.43</v>
      </c>
    </row>
    <row r="163" spans="1:7" x14ac:dyDescent="0.25">
      <c r="A163" s="2">
        <v>45323</v>
      </c>
      <c r="B163" t="s">
        <v>12</v>
      </c>
      <c r="C163" t="s">
        <v>9</v>
      </c>
      <c r="D163">
        <v>182</v>
      </c>
      <c r="E163">
        <v>14502.6</v>
      </c>
      <c r="F163">
        <v>2639473.75</v>
      </c>
      <c r="G163">
        <v>1527175.82</v>
      </c>
    </row>
    <row r="164" spans="1:7" x14ac:dyDescent="0.25">
      <c r="A164" s="2">
        <v>45323</v>
      </c>
      <c r="B164" t="s">
        <v>12</v>
      </c>
      <c r="C164" t="s">
        <v>10</v>
      </c>
      <c r="D164">
        <v>132</v>
      </c>
      <c r="E164">
        <v>14812.76</v>
      </c>
      <c r="F164">
        <v>1955284.79</v>
      </c>
      <c r="G164">
        <v>1173488.1399999999</v>
      </c>
    </row>
    <row r="165" spans="1:7" x14ac:dyDescent="0.25">
      <c r="A165" s="2">
        <v>45323</v>
      </c>
      <c r="B165" t="s">
        <v>12</v>
      </c>
      <c r="C165" t="s">
        <v>11</v>
      </c>
      <c r="D165">
        <v>202</v>
      </c>
      <c r="E165">
        <v>15041.51</v>
      </c>
      <c r="F165">
        <v>3038384.85</v>
      </c>
      <c r="G165">
        <v>1705080.18</v>
      </c>
    </row>
    <row r="166" spans="1:7" x14ac:dyDescent="0.25">
      <c r="A166" s="2">
        <v>45323</v>
      </c>
      <c r="B166" t="s">
        <v>13</v>
      </c>
      <c r="C166" t="s">
        <v>8</v>
      </c>
      <c r="D166">
        <v>431</v>
      </c>
      <c r="E166">
        <v>6337.32</v>
      </c>
      <c r="F166">
        <v>2731383.46</v>
      </c>
      <c r="G166">
        <v>1835558.16</v>
      </c>
    </row>
    <row r="167" spans="1:7" x14ac:dyDescent="0.25">
      <c r="A167" s="2">
        <v>45323</v>
      </c>
      <c r="B167" t="s">
        <v>13</v>
      </c>
      <c r="C167" t="s">
        <v>9</v>
      </c>
      <c r="D167">
        <v>289</v>
      </c>
      <c r="E167">
        <v>6134.57</v>
      </c>
      <c r="F167">
        <v>1772891.83</v>
      </c>
      <c r="G167">
        <v>1135855.3400000001</v>
      </c>
    </row>
    <row r="168" spans="1:7" x14ac:dyDescent="0.25">
      <c r="A168" s="2">
        <v>45323</v>
      </c>
      <c r="B168" t="s">
        <v>13</v>
      </c>
      <c r="C168" t="s">
        <v>10</v>
      </c>
      <c r="D168">
        <v>406</v>
      </c>
      <c r="E168">
        <v>6333.96</v>
      </c>
      <c r="F168">
        <v>2571588.41</v>
      </c>
      <c r="G168">
        <v>1672554.79</v>
      </c>
    </row>
    <row r="169" spans="1:7" x14ac:dyDescent="0.25">
      <c r="A169" s="2">
        <v>45323</v>
      </c>
      <c r="B169" t="s">
        <v>13</v>
      </c>
      <c r="C169" t="s">
        <v>11</v>
      </c>
      <c r="D169">
        <v>307</v>
      </c>
      <c r="E169">
        <v>6143.12</v>
      </c>
      <c r="F169">
        <v>1885937.42</v>
      </c>
      <c r="G169">
        <v>1159928.97</v>
      </c>
    </row>
    <row r="170" spans="1:7" x14ac:dyDescent="0.25">
      <c r="A170" s="2">
        <v>45352</v>
      </c>
      <c r="B170" t="s">
        <v>7</v>
      </c>
      <c r="C170" t="s">
        <v>8</v>
      </c>
      <c r="D170">
        <v>120</v>
      </c>
      <c r="E170">
        <v>43046.03</v>
      </c>
      <c r="F170">
        <v>5165524</v>
      </c>
      <c r="G170">
        <v>3052489.29</v>
      </c>
    </row>
    <row r="171" spans="1:7" x14ac:dyDescent="0.25">
      <c r="A171" s="2">
        <v>45352</v>
      </c>
      <c r="B171" t="s">
        <v>7</v>
      </c>
      <c r="C171" t="s">
        <v>9</v>
      </c>
      <c r="D171">
        <v>136</v>
      </c>
      <c r="E171">
        <v>43188.68</v>
      </c>
      <c r="F171">
        <v>5873660.8200000003</v>
      </c>
      <c r="G171">
        <v>3758688.56</v>
      </c>
    </row>
    <row r="172" spans="1:7" x14ac:dyDescent="0.25">
      <c r="A172" s="2">
        <v>45352</v>
      </c>
      <c r="B172" t="s">
        <v>7</v>
      </c>
      <c r="C172" t="s">
        <v>10</v>
      </c>
      <c r="D172">
        <v>113</v>
      </c>
      <c r="E172">
        <v>40409.07</v>
      </c>
      <c r="F172">
        <v>4566224.92</v>
      </c>
      <c r="G172">
        <v>2832437.25</v>
      </c>
    </row>
    <row r="173" spans="1:7" x14ac:dyDescent="0.25">
      <c r="A173" s="2">
        <v>45352</v>
      </c>
      <c r="B173" t="s">
        <v>7</v>
      </c>
      <c r="C173" t="s">
        <v>11</v>
      </c>
      <c r="D173">
        <v>98</v>
      </c>
      <c r="E173">
        <v>41946.15</v>
      </c>
      <c r="F173">
        <v>4110722.46</v>
      </c>
      <c r="G173">
        <v>2646468.06</v>
      </c>
    </row>
    <row r="174" spans="1:7" x14ac:dyDescent="0.25">
      <c r="A174" s="2">
        <v>45352</v>
      </c>
      <c r="B174" t="s">
        <v>12</v>
      </c>
      <c r="C174" t="s">
        <v>8</v>
      </c>
      <c r="D174">
        <v>235</v>
      </c>
      <c r="E174">
        <v>14307.07</v>
      </c>
      <c r="F174">
        <v>3362160.86</v>
      </c>
      <c r="G174">
        <v>1983809.29</v>
      </c>
    </row>
    <row r="175" spans="1:7" x14ac:dyDescent="0.25">
      <c r="A175" s="2">
        <v>45352</v>
      </c>
      <c r="B175" t="s">
        <v>12</v>
      </c>
      <c r="C175" t="s">
        <v>9</v>
      </c>
      <c r="D175">
        <v>210</v>
      </c>
      <c r="E175">
        <v>14432.07</v>
      </c>
      <c r="F175">
        <v>3030733.76</v>
      </c>
      <c r="G175">
        <v>1774374.76</v>
      </c>
    </row>
    <row r="176" spans="1:7" x14ac:dyDescent="0.25">
      <c r="A176" s="2">
        <v>45352</v>
      </c>
      <c r="B176" t="s">
        <v>12</v>
      </c>
      <c r="C176" t="s">
        <v>10</v>
      </c>
      <c r="D176">
        <v>240</v>
      </c>
      <c r="E176">
        <v>14304.94</v>
      </c>
      <c r="F176">
        <v>3433184.97</v>
      </c>
      <c r="G176">
        <v>2016872.23</v>
      </c>
    </row>
    <row r="177" spans="1:7" x14ac:dyDescent="0.25">
      <c r="A177" s="2">
        <v>45352</v>
      </c>
      <c r="B177" t="s">
        <v>12</v>
      </c>
      <c r="C177" t="s">
        <v>11</v>
      </c>
      <c r="D177">
        <v>159</v>
      </c>
      <c r="E177">
        <v>13987.68</v>
      </c>
      <c r="F177">
        <v>2224040.36</v>
      </c>
      <c r="G177">
        <v>1340499.9099999999</v>
      </c>
    </row>
    <row r="178" spans="1:7" x14ac:dyDescent="0.25">
      <c r="A178" s="2">
        <v>45352</v>
      </c>
      <c r="B178" t="s">
        <v>13</v>
      </c>
      <c r="C178" t="s">
        <v>8</v>
      </c>
      <c r="D178">
        <v>309</v>
      </c>
      <c r="E178">
        <v>6101.67</v>
      </c>
      <c r="F178">
        <v>1885417.3</v>
      </c>
      <c r="G178">
        <v>1170793.06</v>
      </c>
    </row>
    <row r="179" spans="1:7" x14ac:dyDescent="0.25">
      <c r="A179" s="2">
        <v>45352</v>
      </c>
      <c r="B179" t="s">
        <v>13</v>
      </c>
      <c r="C179" t="s">
        <v>9</v>
      </c>
      <c r="D179">
        <v>457</v>
      </c>
      <c r="E179">
        <v>6372.81</v>
      </c>
      <c r="F179">
        <v>2912372.89</v>
      </c>
      <c r="G179">
        <v>1823803.12</v>
      </c>
    </row>
    <row r="180" spans="1:7" x14ac:dyDescent="0.25">
      <c r="A180" s="2">
        <v>45352</v>
      </c>
      <c r="B180" t="s">
        <v>13</v>
      </c>
      <c r="C180" t="s">
        <v>10</v>
      </c>
      <c r="D180">
        <v>250</v>
      </c>
      <c r="E180">
        <v>6380.55</v>
      </c>
      <c r="F180">
        <v>1595137.2</v>
      </c>
      <c r="G180">
        <v>1023505.14</v>
      </c>
    </row>
    <row r="181" spans="1:7" x14ac:dyDescent="0.25">
      <c r="A181" s="2">
        <v>45352</v>
      </c>
      <c r="B181" t="s">
        <v>13</v>
      </c>
      <c r="C181" t="s">
        <v>11</v>
      </c>
      <c r="D181">
        <v>319</v>
      </c>
      <c r="E181">
        <v>6073.6</v>
      </c>
      <c r="F181">
        <v>1937478.11</v>
      </c>
      <c r="G181">
        <v>1199193.93</v>
      </c>
    </row>
    <row r="182" spans="1:7" x14ac:dyDescent="0.25">
      <c r="A182" s="2">
        <v>45383</v>
      </c>
      <c r="B182" t="s">
        <v>7</v>
      </c>
      <c r="C182" t="s">
        <v>8</v>
      </c>
      <c r="D182">
        <v>134</v>
      </c>
      <c r="E182">
        <v>42076.800000000003</v>
      </c>
      <c r="F182">
        <v>5638291.46</v>
      </c>
      <c r="G182">
        <v>3311257.89</v>
      </c>
    </row>
    <row r="183" spans="1:7" x14ac:dyDescent="0.25">
      <c r="A183" s="2">
        <v>45383</v>
      </c>
      <c r="B183" t="s">
        <v>7</v>
      </c>
      <c r="C183" t="s">
        <v>9</v>
      </c>
      <c r="D183">
        <v>92</v>
      </c>
      <c r="E183">
        <v>41597.26</v>
      </c>
      <c r="F183">
        <v>3826947.61</v>
      </c>
      <c r="G183">
        <v>2296262.39</v>
      </c>
    </row>
    <row r="184" spans="1:7" x14ac:dyDescent="0.25">
      <c r="A184" s="2">
        <v>45383</v>
      </c>
      <c r="B184" t="s">
        <v>7</v>
      </c>
      <c r="C184" t="s">
        <v>10</v>
      </c>
      <c r="D184">
        <v>118</v>
      </c>
      <c r="E184">
        <v>39961.24</v>
      </c>
      <c r="F184">
        <v>4715426.4000000004</v>
      </c>
      <c r="G184">
        <v>2841160.78</v>
      </c>
    </row>
    <row r="185" spans="1:7" x14ac:dyDescent="0.25">
      <c r="A185" s="2">
        <v>45383</v>
      </c>
      <c r="B185" t="s">
        <v>7</v>
      </c>
      <c r="C185" t="s">
        <v>11</v>
      </c>
      <c r="D185">
        <v>132</v>
      </c>
      <c r="E185">
        <v>42204.54</v>
      </c>
      <c r="F185">
        <v>5570998.8300000001</v>
      </c>
      <c r="G185">
        <v>3379616.03</v>
      </c>
    </row>
    <row r="186" spans="1:7" x14ac:dyDescent="0.25">
      <c r="A186" s="2">
        <v>45383</v>
      </c>
      <c r="B186" t="s">
        <v>12</v>
      </c>
      <c r="C186" t="s">
        <v>8</v>
      </c>
      <c r="D186">
        <v>201</v>
      </c>
      <c r="E186">
        <v>14378.53</v>
      </c>
      <c r="F186">
        <v>2890084.35</v>
      </c>
      <c r="G186">
        <v>1677765.56</v>
      </c>
    </row>
    <row r="187" spans="1:7" x14ac:dyDescent="0.25">
      <c r="A187" s="2">
        <v>45383</v>
      </c>
      <c r="B187" t="s">
        <v>12</v>
      </c>
      <c r="C187" t="s">
        <v>9</v>
      </c>
      <c r="D187">
        <v>231</v>
      </c>
      <c r="E187">
        <v>14712.71</v>
      </c>
      <c r="F187">
        <v>3398635.03</v>
      </c>
      <c r="G187">
        <v>1950619.89</v>
      </c>
    </row>
    <row r="188" spans="1:7" x14ac:dyDescent="0.25">
      <c r="A188" s="2">
        <v>45383</v>
      </c>
      <c r="B188" t="s">
        <v>12</v>
      </c>
      <c r="C188" t="s">
        <v>10</v>
      </c>
      <c r="D188">
        <v>271</v>
      </c>
      <c r="E188">
        <v>15001.81</v>
      </c>
      <c r="F188">
        <v>4065491.46</v>
      </c>
      <c r="G188">
        <v>2394132.9500000002</v>
      </c>
    </row>
    <row r="189" spans="1:7" x14ac:dyDescent="0.25">
      <c r="A189" s="2">
        <v>45383</v>
      </c>
      <c r="B189" t="s">
        <v>12</v>
      </c>
      <c r="C189" t="s">
        <v>11</v>
      </c>
      <c r="D189">
        <v>170</v>
      </c>
      <c r="E189">
        <v>13789.61</v>
      </c>
      <c r="F189">
        <v>2344233.87</v>
      </c>
      <c r="G189">
        <v>1348077.92</v>
      </c>
    </row>
    <row r="190" spans="1:7" x14ac:dyDescent="0.25">
      <c r="A190" s="2">
        <v>45383</v>
      </c>
      <c r="B190" t="s">
        <v>13</v>
      </c>
      <c r="C190" t="s">
        <v>8</v>
      </c>
      <c r="D190">
        <v>427</v>
      </c>
      <c r="E190">
        <v>6307.18</v>
      </c>
      <c r="F190">
        <v>2693164.69</v>
      </c>
      <c r="G190">
        <v>1705867.78</v>
      </c>
    </row>
    <row r="191" spans="1:7" x14ac:dyDescent="0.25">
      <c r="A191" s="2">
        <v>45383</v>
      </c>
      <c r="B191" t="s">
        <v>13</v>
      </c>
      <c r="C191" t="s">
        <v>9</v>
      </c>
      <c r="D191">
        <v>370</v>
      </c>
      <c r="E191">
        <v>6516.92</v>
      </c>
      <c r="F191">
        <v>2411261.0099999998</v>
      </c>
      <c r="G191">
        <v>1475127.23</v>
      </c>
    </row>
    <row r="192" spans="1:7" x14ac:dyDescent="0.25">
      <c r="A192" s="2">
        <v>45383</v>
      </c>
      <c r="B192" t="s">
        <v>13</v>
      </c>
      <c r="C192" t="s">
        <v>10</v>
      </c>
      <c r="D192">
        <v>423</v>
      </c>
      <c r="E192">
        <v>6356.06</v>
      </c>
      <c r="F192">
        <v>2688614.17</v>
      </c>
      <c r="G192">
        <v>1677295.29</v>
      </c>
    </row>
    <row r="193" spans="1:7" x14ac:dyDescent="0.25">
      <c r="A193" s="2">
        <v>45383</v>
      </c>
      <c r="B193" t="s">
        <v>13</v>
      </c>
      <c r="C193" t="s">
        <v>11</v>
      </c>
      <c r="D193">
        <v>352</v>
      </c>
      <c r="E193">
        <v>6290.21</v>
      </c>
      <c r="F193">
        <v>2214155.16</v>
      </c>
      <c r="G193">
        <v>1398624.63</v>
      </c>
    </row>
    <row r="194" spans="1:7" x14ac:dyDescent="0.25">
      <c r="A194" s="2">
        <v>45413</v>
      </c>
      <c r="B194" t="s">
        <v>7</v>
      </c>
      <c r="C194" t="s">
        <v>8</v>
      </c>
      <c r="D194">
        <v>141</v>
      </c>
      <c r="E194">
        <v>41397.58</v>
      </c>
      <c r="F194">
        <v>5837058.2699999996</v>
      </c>
      <c r="G194">
        <v>3677641.85</v>
      </c>
    </row>
    <row r="195" spans="1:7" x14ac:dyDescent="0.25">
      <c r="A195" s="2">
        <v>45413</v>
      </c>
      <c r="B195" t="s">
        <v>7</v>
      </c>
      <c r="C195" t="s">
        <v>9</v>
      </c>
      <c r="D195">
        <v>118</v>
      </c>
      <c r="E195">
        <v>42950.58</v>
      </c>
      <c r="F195">
        <v>5068168.54</v>
      </c>
      <c r="G195">
        <v>3213646.49</v>
      </c>
    </row>
    <row r="196" spans="1:7" x14ac:dyDescent="0.25">
      <c r="A196" s="2">
        <v>45413</v>
      </c>
      <c r="B196" t="s">
        <v>7</v>
      </c>
      <c r="C196" t="s">
        <v>10</v>
      </c>
      <c r="D196">
        <v>122</v>
      </c>
      <c r="E196">
        <v>43413.18</v>
      </c>
      <c r="F196">
        <v>5296408.26</v>
      </c>
      <c r="G196">
        <v>3237383.78</v>
      </c>
    </row>
    <row r="197" spans="1:7" x14ac:dyDescent="0.25">
      <c r="A197" s="2">
        <v>45413</v>
      </c>
      <c r="B197" t="s">
        <v>7</v>
      </c>
      <c r="C197" t="s">
        <v>11</v>
      </c>
      <c r="D197">
        <v>117</v>
      </c>
      <c r="E197">
        <v>43505.01</v>
      </c>
      <c r="F197">
        <v>5090085.66</v>
      </c>
      <c r="G197">
        <v>3131811.46</v>
      </c>
    </row>
    <row r="198" spans="1:7" x14ac:dyDescent="0.25">
      <c r="A198" s="2">
        <v>45413</v>
      </c>
      <c r="B198" t="s">
        <v>12</v>
      </c>
      <c r="C198" t="s">
        <v>8</v>
      </c>
      <c r="D198">
        <v>278</v>
      </c>
      <c r="E198">
        <v>15187.21</v>
      </c>
      <c r="F198">
        <v>4222043</v>
      </c>
      <c r="G198">
        <v>2436012.41</v>
      </c>
    </row>
    <row r="199" spans="1:7" x14ac:dyDescent="0.25">
      <c r="A199" s="2">
        <v>45413</v>
      </c>
      <c r="B199" t="s">
        <v>12</v>
      </c>
      <c r="C199" t="s">
        <v>9</v>
      </c>
      <c r="D199">
        <v>136</v>
      </c>
      <c r="E199">
        <v>14294.43</v>
      </c>
      <c r="F199">
        <v>1944041.88</v>
      </c>
      <c r="G199">
        <v>1053218.8799999999</v>
      </c>
    </row>
    <row r="200" spans="1:7" x14ac:dyDescent="0.25">
      <c r="A200" s="2">
        <v>45413</v>
      </c>
      <c r="B200" t="s">
        <v>12</v>
      </c>
      <c r="C200" t="s">
        <v>10</v>
      </c>
      <c r="D200">
        <v>219</v>
      </c>
      <c r="E200">
        <v>14313.08</v>
      </c>
      <c r="F200">
        <v>3134564.51</v>
      </c>
      <c r="G200">
        <v>1764728.85</v>
      </c>
    </row>
    <row r="201" spans="1:7" x14ac:dyDescent="0.25">
      <c r="A201" s="2">
        <v>45413</v>
      </c>
      <c r="B201" t="s">
        <v>12</v>
      </c>
      <c r="C201" t="s">
        <v>11</v>
      </c>
      <c r="D201">
        <v>238</v>
      </c>
      <c r="E201">
        <v>14576.64</v>
      </c>
      <c r="F201">
        <v>3469239.99</v>
      </c>
      <c r="G201">
        <v>1945631.82</v>
      </c>
    </row>
    <row r="202" spans="1:7" x14ac:dyDescent="0.25">
      <c r="A202" s="2">
        <v>45413</v>
      </c>
      <c r="B202" t="s">
        <v>13</v>
      </c>
      <c r="C202" t="s">
        <v>8</v>
      </c>
      <c r="D202">
        <v>348</v>
      </c>
      <c r="E202">
        <v>6184.25</v>
      </c>
      <c r="F202">
        <v>2152120.29</v>
      </c>
      <c r="G202">
        <v>1426771.4</v>
      </c>
    </row>
    <row r="203" spans="1:7" x14ac:dyDescent="0.25">
      <c r="A203" s="2">
        <v>45413</v>
      </c>
      <c r="B203" t="s">
        <v>13</v>
      </c>
      <c r="C203" t="s">
        <v>9</v>
      </c>
      <c r="D203">
        <v>372</v>
      </c>
      <c r="E203">
        <v>6063.38</v>
      </c>
      <c r="F203">
        <v>2255577.34</v>
      </c>
      <c r="G203">
        <v>1422068.39</v>
      </c>
    </row>
    <row r="204" spans="1:7" x14ac:dyDescent="0.25">
      <c r="A204" s="2">
        <v>45413</v>
      </c>
      <c r="B204" t="s">
        <v>13</v>
      </c>
      <c r="C204" t="s">
        <v>10</v>
      </c>
      <c r="D204">
        <v>471</v>
      </c>
      <c r="E204">
        <v>6103.98</v>
      </c>
      <c r="F204">
        <v>2874975.86</v>
      </c>
      <c r="G204">
        <v>1824209.55</v>
      </c>
    </row>
    <row r="205" spans="1:7" x14ac:dyDescent="0.25">
      <c r="A205" s="2">
        <v>45413</v>
      </c>
      <c r="B205" t="s">
        <v>13</v>
      </c>
      <c r="C205" t="s">
        <v>11</v>
      </c>
      <c r="D205">
        <v>369</v>
      </c>
      <c r="E205">
        <v>5950.36</v>
      </c>
      <c r="F205">
        <v>2195682.19</v>
      </c>
      <c r="G205">
        <v>1394206.77</v>
      </c>
    </row>
    <row r="206" spans="1:7" x14ac:dyDescent="0.25">
      <c r="A206" s="2">
        <v>45444</v>
      </c>
      <c r="B206" t="s">
        <v>7</v>
      </c>
      <c r="C206" t="s">
        <v>8</v>
      </c>
      <c r="D206">
        <v>75</v>
      </c>
      <c r="E206">
        <v>41373.660000000003</v>
      </c>
      <c r="F206">
        <v>3103024.63</v>
      </c>
      <c r="G206">
        <v>2002692.26</v>
      </c>
    </row>
    <row r="207" spans="1:7" x14ac:dyDescent="0.25">
      <c r="A207" s="2">
        <v>45444</v>
      </c>
      <c r="B207" t="s">
        <v>7</v>
      </c>
      <c r="C207" t="s">
        <v>9</v>
      </c>
      <c r="D207">
        <v>108</v>
      </c>
      <c r="E207">
        <v>41618.15</v>
      </c>
      <c r="F207">
        <v>4494760.3099999996</v>
      </c>
      <c r="G207">
        <v>2756998.69</v>
      </c>
    </row>
    <row r="208" spans="1:7" x14ac:dyDescent="0.25">
      <c r="A208" s="2">
        <v>45444</v>
      </c>
      <c r="B208" t="s">
        <v>7</v>
      </c>
      <c r="C208" t="s">
        <v>10</v>
      </c>
      <c r="D208">
        <v>100</v>
      </c>
      <c r="E208">
        <v>42381.14</v>
      </c>
      <c r="F208">
        <v>4238114.25</v>
      </c>
      <c r="G208">
        <v>2603892.59</v>
      </c>
    </row>
    <row r="209" spans="1:7" x14ac:dyDescent="0.25">
      <c r="A209" s="2">
        <v>45444</v>
      </c>
      <c r="B209" t="s">
        <v>7</v>
      </c>
      <c r="C209" t="s">
        <v>11</v>
      </c>
      <c r="D209">
        <v>119</v>
      </c>
      <c r="E209">
        <v>42013.57</v>
      </c>
      <c r="F209">
        <v>4999614.55</v>
      </c>
      <c r="G209">
        <v>3036136.97</v>
      </c>
    </row>
    <row r="210" spans="1:7" x14ac:dyDescent="0.25">
      <c r="A210" s="2">
        <v>45444</v>
      </c>
      <c r="B210" t="s">
        <v>12</v>
      </c>
      <c r="C210" t="s">
        <v>8</v>
      </c>
      <c r="D210">
        <v>240</v>
      </c>
      <c r="E210">
        <v>14682.34</v>
      </c>
      <c r="F210">
        <v>3523761.56</v>
      </c>
      <c r="G210">
        <v>2105495.17</v>
      </c>
    </row>
    <row r="211" spans="1:7" x14ac:dyDescent="0.25">
      <c r="A211" s="2">
        <v>45444</v>
      </c>
      <c r="B211" t="s">
        <v>12</v>
      </c>
      <c r="C211" t="s">
        <v>9</v>
      </c>
      <c r="D211">
        <v>238</v>
      </c>
      <c r="E211">
        <v>14002.68</v>
      </c>
      <c r="F211">
        <v>3332638.35</v>
      </c>
      <c r="G211">
        <v>1849491.06</v>
      </c>
    </row>
    <row r="212" spans="1:7" x14ac:dyDescent="0.25">
      <c r="A212" s="2">
        <v>45444</v>
      </c>
      <c r="B212" t="s">
        <v>12</v>
      </c>
      <c r="C212" t="s">
        <v>10</v>
      </c>
      <c r="D212">
        <v>287</v>
      </c>
      <c r="E212">
        <v>13968.42</v>
      </c>
      <c r="F212">
        <v>4008936.59</v>
      </c>
      <c r="G212">
        <v>2269809.89</v>
      </c>
    </row>
    <row r="213" spans="1:7" x14ac:dyDescent="0.25">
      <c r="A213" s="2">
        <v>45444</v>
      </c>
      <c r="B213" t="s">
        <v>12</v>
      </c>
      <c r="C213" t="s">
        <v>11</v>
      </c>
      <c r="D213">
        <v>209</v>
      </c>
      <c r="E213">
        <v>14452.32</v>
      </c>
      <c r="F213">
        <v>3020535.41</v>
      </c>
      <c r="G213">
        <v>1821922.65</v>
      </c>
    </row>
    <row r="214" spans="1:7" x14ac:dyDescent="0.25">
      <c r="A214" s="2">
        <v>45444</v>
      </c>
      <c r="B214" t="s">
        <v>13</v>
      </c>
      <c r="C214" t="s">
        <v>8</v>
      </c>
      <c r="D214">
        <v>375</v>
      </c>
      <c r="E214">
        <v>6140.97</v>
      </c>
      <c r="F214">
        <v>2302865.27</v>
      </c>
      <c r="G214">
        <v>1485543.32</v>
      </c>
    </row>
    <row r="215" spans="1:7" x14ac:dyDescent="0.25">
      <c r="A215" s="2">
        <v>45444</v>
      </c>
      <c r="B215" t="s">
        <v>13</v>
      </c>
      <c r="C215" t="s">
        <v>9</v>
      </c>
      <c r="D215">
        <v>346</v>
      </c>
      <c r="E215">
        <v>6350.95</v>
      </c>
      <c r="F215">
        <v>2197428.7400000002</v>
      </c>
      <c r="G215">
        <v>1492282.05</v>
      </c>
    </row>
    <row r="216" spans="1:7" x14ac:dyDescent="0.25">
      <c r="A216" s="2">
        <v>45444</v>
      </c>
      <c r="B216" t="s">
        <v>13</v>
      </c>
      <c r="C216" t="s">
        <v>10</v>
      </c>
      <c r="D216">
        <v>269</v>
      </c>
      <c r="E216">
        <v>6054.37</v>
      </c>
      <c r="F216">
        <v>1628625.84</v>
      </c>
      <c r="G216">
        <v>993750.73</v>
      </c>
    </row>
    <row r="217" spans="1:7" x14ac:dyDescent="0.25">
      <c r="A217" s="2">
        <v>45444</v>
      </c>
      <c r="B217" t="s">
        <v>13</v>
      </c>
      <c r="C217" t="s">
        <v>11</v>
      </c>
      <c r="D217">
        <v>386</v>
      </c>
      <c r="E217">
        <v>6061.14</v>
      </c>
      <c r="F217">
        <v>2339601.0499999998</v>
      </c>
      <c r="G217">
        <v>1503931.2</v>
      </c>
    </row>
    <row r="218" spans="1:7" x14ac:dyDescent="0.25">
      <c r="A218" s="2">
        <v>45474</v>
      </c>
      <c r="B218" t="s">
        <v>7</v>
      </c>
      <c r="C218" t="s">
        <v>8</v>
      </c>
      <c r="D218">
        <v>94</v>
      </c>
      <c r="E218">
        <v>41203.93</v>
      </c>
      <c r="F218">
        <v>3873169.52</v>
      </c>
      <c r="G218">
        <v>2364819.42</v>
      </c>
    </row>
    <row r="219" spans="1:7" x14ac:dyDescent="0.25">
      <c r="A219" s="2">
        <v>45474</v>
      </c>
      <c r="B219" t="s">
        <v>7</v>
      </c>
      <c r="C219" t="s">
        <v>9</v>
      </c>
      <c r="D219">
        <v>102</v>
      </c>
      <c r="E219">
        <v>42699.07</v>
      </c>
      <c r="F219">
        <v>4355305.09</v>
      </c>
      <c r="G219">
        <v>2721777.46</v>
      </c>
    </row>
    <row r="220" spans="1:7" x14ac:dyDescent="0.25">
      <c r="A220" s="2">
        <v>45474</v>
      </c>
      <c r="B220" t="s">
        <v>7</v>
      </c>
      <c r="C220" t="s">
        <v>10</v>
      </c>
      <c r="D220">
        <v>128</v>
      </c>
      <c r="E220">
        <v>42032.7</v>
      </c>
      <c r="F220">
        <v>5380186.0700000003</v>
      </c>
      <c r="G220">
        <v>3382797.76</v>
      </c>
    </row>
    <row r="221" spans="1:7" x14ac:dyDescent="0.25">
      <c r="A221" s="2">
        <v>45474</v>
      </c>
      <c r="B221" t="s">
        <v>7</v>
      </c>
      <c r="C221" t="s">
        <v>11</v>
      </c>
      <c r="D221">
        <v>126</v>
      </c>
      <c r="E221">
        <v>40285.949999999997</v>
      </c>
      <c r="F221">
        <v>5076029.07</v>
      </c>
      <c r="G221">
        <v>3256234.44</v>
      </c>
    </row>
    <row r="222" spans="1:7" x14ac:dyDescent="0.25">
      <c r="A222" s="2">
        <v>45474</v>
      </c>
      <c r="B222" t="s">
        <v>12</v>
      </c>
      <c r="C222" t="s">
        <v>8</v>
      </c>
      <c r="D222">
        <v>143</v>
      </c>
      <c r="E222">
        <v>15224.59</v>
      </c>
      <c r="F222">
        <v>2177116.8199999998</v>
      </c>
      <c r="G222">
        <v>1310896.48</v>
      </c>
    </row>
    <row r="223" spans="1:7" x14ac:dyDescent="0.25">
      <c r="A223" s="2">
        <v>45474</v>
      </c>
      <c r="B223" t="s">
        <v>12</v>
      </c>
      <c r="C223" t="s">
        <v>9</v>
      </c>
      <c r="D223">
        <v>194</v>
      </c>
      <c r="E223">
        <v>13939.99</v>
      </c>
      <c r="F223">
        <v>2704358.54</v>
      </c>
      <c r="G223">
        <v>1541430.48</v>
      </c>
    </row>
    <row r="224" spans="1:7" x14ac:dyDescent="0.25">
      <c r="A224" s="2">
        <v>45474</v>
      </c>
      <c r="B224" t="s">
        <v>12</v>
      </c>
      <c r="C224" t="s">
        <v>10</v>
      </c>
      <c r="D224">
        <v>152</v>
      </c>
      <c r="E224">
        <v>14569.66</v>
      </c>
      <c r="F224">
        <v>2214588.48</v>
      </c>
      <c r="G224">
        <v>1267627.3899999999</v>
      </c>
    </row>
    <row r="225" spans="1:7" x14ac:dyDescent="0.25">
      <c r="A225" s="2">
        <v>45474</v>
      </c>
      <c r="B225" t="s">
        <v>12</v>
      </c>
      <c r="C225" t="s">
        <v>11</v>
      </c>
      <c r="D225">
        <v>241</v>
      </c>
      <c r="E225">
        <v>14179.74</v>
      </c>
      <c r="F225">
        <v>3417317.77</v>
      </c>
      <c r="G225">
        <v>1902541.83</v>
      </c>
    </row>
    <row r="226" spans="1:7" x14ac:dyDescent="0.25">
      <c r="A226" s="2">
        <v>45474</v>
      </c>
      <c r="B226" t="s">
        <v>13</v>
      </c>
      <c r="C226" t="s">
        <v>8</v>
      </c>
      <c r="D226">
        <v>363</v>
      </c>
      <c r="E226">
        <v>5953.55</v>
      </c>
      <c r="F226">
        <v>2161138.0499999998</v>
      </c>
      <c r="G226">
        <v>1369789.45</v>
      </c>
    </row>
    <row r="227" spans="1:7" x14ac:dyDescent="0.25">
      <c r="A227" s="2">
        <v>45474</v>
      </c>
      <c r="B227" t="s">
        <v>13</v>
      </c>
      <c r="C227" t="s">
        <v>9</v>
      </c>
      <c r="D227">
        <v>269</v>
      </c>
      <c r="E227">
        <v>6053.57</v>
      </c>
      <c r="F227">
        <v>1628410.52</v>
      </c>
      <c r="G227">
        <v>1086367.83</v>
      </c>
    </row>
    <row r="228" spans="1:7" x14ac:dyDescent="0.25">
      <c r="A228" s="2">
        <v>45474</v>
      </c>
      <c r="B228" t="s">
        <v>13</v>
      </c>
      <c r="C228" t="s">
        <v>10</v>
      </c>
      <c r="D228">
        <v>524</v>
      </c>
      <c r="E228">
        <v>6207.18</v>
      </c>
      <c r="F228">
        <v>3252564.04</v>
      </c>
      <c r="G228">
        <v>2067037.75</v>
      </c>
    </row>
    <row r="229" spans="1:7" x14ac:dyDescent="0.25">
      <c r="A229" s="2">
        <v>45474</v>
      </c>
      <c r="B229" t="s">
        <v>13</v>
      </c>
      <c r="C229" t="s">
        <v>11</v>
      </c>
      <c r="D229">
        <v>292</v>
      </c>
      <c r="E229">
        <v>6218.2</v>
      </c>
      <c r="F229">
        <v>1815714.49</v>
      </c>
      <c r="G229">
        <v>1165984.74</v>
      </c>
    </row>
    <row r="230" spans="1:7" x14ac:dyDescent="0.25">
      <c r="A230" s="2">
        <v>45505</v>
      </c>
      <c r="B230" t="s">
        <v>7</v>
      </c>
      <c r="C230" t="s">
        <v>8</v>
      </c>
      <c r="D230">
        <v>130</v>
      </c>
      <c r="E230">
        <v>41766.65</v>
      </c>
      <c r="F230">
        <v>5429664.8200000003</v>
      </c>
      <c r="G230">
        <v>3508369.52</v>
      </c>
    </row>
    <row r="231" spans="1:7" x14ac:dyDescent="0.25">
      <c r="A231" s="2">
        <v>45505</v>
      </c>
      <c r="B231" t="s">
        <v>7</v>
      </c>
      <c r="C231" t="s">
        <v>9</v>
      </c>
      <c r="D231">
        <v>99</v>
      </c>
      <c r="E231">
        <v>41948.17</v>
      </c>
      <c r="F231">
        <v>4152868.56</v>
      </c>
      <c r="G231">
        <v>2557791.92</v>
      </c>
    </row>
    <row r="232" spans="1:7" x14ac:dyDescent="0.25">
      <c r="A232" s="2">
        <v>45505</v>
      </c>
      <c r="B232" t="s">
        <v>7</v>
      </c>
      <c r="C232" t="s">
        <v>10</v>
      </c>
      <c r="D232">
        <v>95</v>
      </c>
      <c r="E232">
        <v>39591.72</v>
      </c>
      <c r="F232">
        <v>3761213.11</v>
      </c>
      <c r="G232">
        <v>2374404.59</v>
      </c>
    </row>
    <row r="233" spans="1:7" x14ac:dyDescent="0.25">
      <c r="A233" s="2">
        <v>45505</v>
      </c>
      <c r="B233" t="s">
        <v>7</v>
      </c>
      <c r="C233" t="s">
        <v>11</v>
      </c>
      <c r="D233">
        <v>149</v>
      </c>
      <c r="E233">
        <v>41764.800000000003</v>
      </c>
      <c r="F233">
        <v>6222955.29</v>
      </c>
      <c r="G233">
        <v>3828788.3</v>
      </c>
    </row>
    <row r="234" spans="1:7" x14ac:dyDescent="0.25">
      <c r="A234" s="2">
        <v>45505</v>
      </c>
      <c r="B234" t="s">
        <v>12</v>
      </c>
      <c r="C234" t="s">
        <v>8</v>
      </c>
      <c r="D234">
        <v>159</v>
      </c>
      <c r="E234">
        <v>14553.55</v>
      </c>
      <c r="F234">
        <v>2314014.56</v>
      </c>
      <c r="G234">
        <v>1325384.08</v>
      </c>
    </row>
    <row r="235" spans="1:7" x14ac:dyDescent="0.25">
      <c r="A235" s="2">
        <v>45505</v>
      </c>
      <c r="B235" t="s">
        <v>12</v>
      </c>
      <c r="C235" t="s">
        <v>9</v>
      </c>
      <c r="D235">
        <v>198</v>
      </c>
      <c r="E235">
        <v>14602.85</v>
      </c>
      <c r="F235">
        <v>2891363.35</v>
      </c>
      <c r="G235">
        <v>1688754.06</v>
      </c>
    </row>
    <row r="236" spans="1:7" x14ac:dyDescent="0.25">
      <c r="A236" s="2">
        <v>45505</v>
      </c>
      <c r="B236" t="s">
        <v>12</v>
      </c>
      <c r="C236" t="s">
        <v>10</v>
      </c>
      <c r="D236">
        <v>186</v>
      </c>
      <c r="E236">
        <v>14799.93</v>
      </c>
      <c r="F236">
        <v>2752787</v>
      </c>
      <c r="G236">
        <v>1559149.91</v>
      </c>
    </row>
    <row r="237" spans="1:7" x14ac:dyDescent="0.25">
      <c r="A237" s="2">
        <v>45505</v>
      </c>
      <c r="B237" t="s">
        <v>12</v>
      </c>
      <c r="C237" t="s">
        <v>11</v>
      </c>
      <c r="D237">
        <v>154</v>
      </c>
      <c r="E237">
        <v>14473.46</v>
      </c>
      <c r="F237">
        <v>2228913.0099999998</v>
      </c>
      <c r="G237">
        <v>1325068.57</v>
      </c>
    </row>
    <row r="238" spans="1:7" x14ac:dyDescent="0.25">
      <c r="A238" s="2">
        <v>45505</v>
      </c>
      <c r="B238" t="s">
        <v>13</v>
      </c>
      <c r="C238" t="s">
        <v>8</v>
      </c>
      <c r="D238">
        <v>209</v>
      </c>
      <c r="E238">
        <v>6327.61</v>
      </c>
      <c r="F238">
        <v>1322471.28</v>
      </c>
      <c r="G238">
        <v>797203.23</v>
      </c>
    </row>
    <row r="239" spans="1:7" x14ac:dyDescent="0.25">
      <c r="A239" s="2">
        <v>45505</v>
      </c>
      <c r="B239" t="s">
        <v>13</v>
      </c>
      <c r="C239" t="s">
        <v>9</v>
      </c>
      <c r="D239">
        <v>375</v>
      </c>
      <c r="E239">
        <v>6149.62</v>
      </c>
      <c r="F239">
        <v>2306106.94</v>
      </c>
      <c r="G239">
        <v>1459953.68</v>
      </c>
    </row>
    <row r="240" spans="1:7" x14ac:dyDescent="0.25">
      <c r="A240" s="2">
        <v>45505</v>
      </c>
      <c r="B240" t="s">
        <v>13</v>
      </c>
      <c r="C240" t="s">
        <v>10</v>
      </c>
      <c r="D240">
        <v>382</v>
      </c>
      <c r="E240">
        <v>6127.02</v>
      </c>
      <c r="F240">
        <v>2340523.5</v>
      </c>
      <c r="G240">
        <v>1450946.77</v>
      </c>
    </row>
    <row r="241" spans="1:7" x14ac:dyDescent="0.25">
      <c r="A241" s="2">
        <v>45505</v>
      </c>
      <c r="B241" t="s">
        <v>13</v>
      </c>
      <c r="C241" t="s">
        <v>11</v>
      </c>
      <c r="D241">
        <v>357</v>
      </c>
      <c r="E241">
        <v>6102.39</v>
      </c>
      <c r="F241">
        <v>2178551.98</v>
      </c>
      <c r="G241">
        <v>1367082.75</v>
      </c>
    </row>
    <row r="242" spans="1:7" x14ac:dyDescent="0.25">
      <c r="A242" s="2">
        <v>45536</v>
      </c>
      <c r="B242" t="s">
        <v>7</v>
      </c>
      <c r="C242" t="s">
        <v>8</v>
      </c>
      <c r="D242">
        <v>73</v>
      </c>
      <c r="E242">
        <v>42735.24</v>
      </c>
      <c r="F242">
        <v>3119672.61</v>
      </c>
      <c r="G242">
        <v>1923904.78</v>
      </c>
    </row>
    <row r="243" spans="1:7" x14ac:dyDescent="0.25">
      <c r="A243" s="2">
        <v>45536</v>
      </c>
      <c r="B243" t="s">
        <v>7</v>
      </c>
      <c r="C243" t="s">
        <v>9</v>
      </c>
      <c r="D243">
        <v>90</v>
      </c>
      <c r="E243">
        <v>41798.89</v>
      </c>
      <c r="F243">
        <v>3761900.28</v>
      </c>
      <c r="G243">
        <v>2314591.87</v>
      </c>
    </row>
    <row r="244" spans="1:7" x14ac:dyDescent="0.25">
      <c r="A244" s="2">
        <v>45536</v>
      </c>
      <c r="B244" t="s">
        <v>7</v>
      </c>
      <c r="C244" t="s">
        <v>10</v>
      </c>
      <c r="D244">
        <v>113</v>
      </c>
      <c r="E244">
        <v>43049.599999999999</v>
      </c>
      <c r="F244">
        <v>4864604.7</v>
      </c>
      <c r="G244">
        <v>2998352.93</v>
      </c>
    </row>
    <row r="245" spans="1:7" x14ac:dyDescent="0.25">
      <c r="A245" s="2">
        <v>45536</v>
      </c>
      <c r="B245" t="s">
        <v>7</v>
      </c>
      <c r="C245" t="s">
        <v>11</v>
      </c>
      <c r="D245">
        <v>91</v>
      </c>
      <c r="E245">
        <v>41493.03</v>
      </c>
      <c r="F245">
        <v>3775866.06</v>
      </c>
      <c r="G245">
        <v>2391121.67</v>
      </c>
    </row>
    <row r="246" spans="1:7" x14ac:dyDescent="0.25">
      <c r="A246" s="2">
        <v>45536</v>
      </c>
      <c r="B246" t="s">
        <v>12</v>
      </c>
      <c r="C246" t="s">
        <v>8</v>
      </c>
      <c r="D246">
        <v>234</v>
      </c>
      <c r="E246">
        <v>14739.37</v>
      </c>
      <c r="F246">
        <v>3449011.46</v>
      </c>
      <c r="G246">
        <v>2080617.58</v>
      </c>
    </row>
    <row r="247" spans="1:7" x14ac:dyDescent="0.25">
      <c r="A247" s="2">
        <v>45536</v>
      </c>
      <c r="B247" t="s">
        <v>12</v>
      </c>
      <c r="C247" t="s">
        <v>9</v>
      </c>
      <c r="D247">
        <v>157</v>
      </c>
      <c r="E247">
        <v>14019.22</v>
      </c>
      <c r="F247">
        <v>2201017.9500000002</v>
      </c>
      <c r="G247">
        <v>1207429.01</v>
      </c>
    </row>
    <row r="248" spans="1:7" x14ac:dyDescent="0.25">
      <c r="A248" s="2">
        <v>45536</v>
      </c>
      <c r="B248" t="s">
        <v>12</v>
      </c>
      <c r="C248" t="s">
        <v>10</v>
      </c>
      <c r="D248">
        <v>165</v>
      </c>
      <c r="E248">
        <v>14374.99</v>
      </c>
      <c r="F248">
        <v>2371873.89</v>
      </c>
      <c r="G248">
        <v>1368552.52</v>
      </c>
    </row>
    <row r="249" spans="1:7" x14ac:dyDescent="0.25">
      <c r="A249" s="2">
        <v>45536</v>
      </c>
      <c r="B249" t="s">
        <v>12</v>
      </c>
      <c r="C249" t="s">
        <v>11</v>
      </c>
      <c r="D249">
        <v>129</v>
      </c>
      <c r="E249">
        <v>14355.8</v>
      </c>
      <c r="F249">
        <v>1851898.28</v>
      </c>
      <c r="G249">
        <v>1102726.3999999999</v>
      </c>
    </row>
    <row r="250" spans="1:7" x14ac:dyDescent="0.25">
      <c r="A250" s="2">
        <v>45536</v>
      </c>
      <c r="B250" t="s">
        <v>13</v>
      </c>
      <c r="C250" t="s">
        <v>8</v>
      </c>
      <c r="D250">
        <v>410</v>
      </c>
      <c r="E250">
        <v>5986.09</v>
      </c>
      <c r="F250">
        <v>2454298.2799999998</v>
      </c>
      <c r="G250">
        <v>1601227.59</v>
      </c>
    </row>
    <row r="251" spans="1:7" x14ac:dyDescent="0.25">
      <c r="A251" s="2">
        <v>45536</v>
      </c>
      <c r="B251" t="s">
        <v>13</v>
      </c>
      <c r="C251" t="s">
        <v>9</v>
      </c>
      <c r="D251">
        <v>260</v>
      </c>
      <c r="E251">
        <v>6025.71</v>
      </c>
      <c r="F251">
        <v>1566685.4</v>
      </c>
      <c r="G251">
        <v>992810.93</v>
      </c>
    </row>
    <row r="252" spans="1:7" x14ac:dyDescent="0.25">
      <c r="A252" s="2">
        <v>45536</v>
      </c>
      <c r="B252" t="s">
        <v>13</v>
      </c>
      <c r="C252" t="s">
        <v>10</v>
      </c>
      <c r="D252">
        <v>353</v>
      </c>
      <c r="E252">
        <v>5832.43</v>
      </c>
      <c r="F252">
        <v>2058848.87</v>
      </c>
      <c r="G252">
        <v>1365927.33</v>
      </c>
    </row>
    <row r="253" spans="1:7" x14ac:dyDescent="0.25">
      <c r="A253" s="2">
        <v>45536</v>
      </c>
      <c r="B253" t="s">
        <v>13</v>
      </c>
      <c r="C253" t="s">
        <v>11</v>
      </c>
      <c r="D253">
        <v>356</v>
      </c>
      <c r="E253">
        <v>6321.08</v>
      </c>
      <c r="F253">
        <v>2250304.96</v>
      </c>
      <c r="G253">
        <v>1408389.62</v>
      </c>
    </row>
    <row r="254" spans="1:7" x14ac:dyDescent="0.25">
      <c r="A254" s="2">
        <v>45566</v>
      </c>
      <c r="B254" t="s">
        <v>7</v>
      </c>
      <c r="C254" t="s">
        <v>8</v>
      </c>
      <c r="D254">
        <v>113</v>
      </c>
      <c r="E254">
        <v>42736.65</v>
      </c>
      <c r="F254">
        <v>4829241.33</v>
      </c>
      <c r="G254">
        <v>2945543.69</v>
      </c>
    </row>
    <row r="255" spans="1:7" x14ac:dyDescent="0.25">
      <c r="A255" s="2">
        <v>45566</v>
      </c>
      <c r="B255" t="s">
        <v>7</v>
      </c>
      <c r="C255" t="s">
        <v>9</v>
      </c>
      <c r="D255">
        <v>127</v>
      </c>
      <c r="E255">
        <v>42198.01</v>
      </c>
      <c r="F255">
        <v>5359146.9800000004</v>
      </c>
      <c r="G255">
        <v>3380826.64</v>
      </c>
    </row>
    <row r="256" spans="1:7" x14ac:dyDescent="0.25">
      <c r="A256" s="2">
        <v>45566</v>
      </c>
      <c r="B256" t="s">
        <v>7</v>
      </c>
      <c r="C256" t="s">
        <v>10</v>
      </c>
      <c r="D256">
        <v>78</v>
      </c>
      <c r="E256">
        <v>41962.67</v>
      </c>
      <c r="F256">
        <v>3273088.17</v>
      </c>
      <c r="G256">
        <v>2008968.47</v>
      </c>
    </row>
    <row r="257" spans="1:7" x14ac:dyDescent="0.25">
      <c r="A257" s="2">
        <v>45566</v>
      </c>
      <c r="B257" t="s">
        <v>7</v>
      </c>
      <c r="C257" t="s">
        <v>11</v>
      </c>
      <c r="D257">
        <v>127</v>
      </c>
      <c r="E257">
        <v>40194</v>
      </c>
      <c r="F257">
        <v>5104638.16</v>
      </c>
      <c r="G257">
        <v>3056924.13</v>
      </c>
    </row>
    <row r="258" spans="1:7" x14ac:dyDescent="0.25">
      <c r="A258" s="2">
        <v>45566</v>
      </c>
      <c r="B258" t="s">
        <v>12</v>
      </c>
      <c r="C258" t="s">
        <v>8</v>
      </c>
      <c r="D258">
        <v>221</v>
      </c>
      <c r="E258">
        <v>15067.91</v>
      </c>
      <c r="F258">
        <v>3330008.77</v>
      </c>
      <c r="G258">
        <v>1919770.52</v>
      </c>
    </row>
    <row r="259" spans="1:7" x14ac:dyDescent="0.25">
      <c r="A259" s="2">
        <v>45566</v>
      </c>
      <c r="B259" t="s">
        <v>12</v>
      </c>
      <c r="C259" t="s">
        <v>9</v>
      </c>
      <c r="D259">
        <v>232</v>
      </c>
      <c r="E259">
        <v>14531.45</v>
      </c>
      <c r="F259">
        <v>3371295.54</v>
      </c>
      <c r="G259">
        <v>1968649.6</v>
      </c>
    </row>
    <row r="260" spans="1:7" x14ac:dyDescent="0.25">
      <c r="A260" s="2">
        <v>45566</v>
      </c>
      <c r="B260" t="s">
        <v>12</v>
      </c>
      <c r="C260" t="s">
        <v>10</v>
      </c>
      <c r="D260">
        <v>218</v>
      </c>
      <c r="E260">
        <v>14006.35</v>
      </c>
      <c r="F260">
        <v>3053384.73</v>
      </c>
      <c r="G260">
        <v>1768817.17</v>
      </c>
    </row>
    <row r="261" spans="1:7" x14ac:dyDescent="0.25">
      <c r="A261" s="2">
        <v>45566</v>
      </c>
      <c r="B261" t="s">
        <v>12</v>
      </c>
      <c r="C261" t="s">
        <v>11</v>
      </c>
      <c r="D261">
        <v>193</v>
      </c>
      <c r="E261">
        <v>14662.56</v>
      </c>
      <c r="F261">
        <v>2829873.44</v>
      </c>
      <c r="G261">
        <v>1565265.02</v>
      </c>
    </row>
    <row r="262" spans="1:7" x14ac:dyDescent="0.25">
      <c r="A262" s="2">
        <v>45566</v>
      </c>
      <c r="B262" t="s">
        <v>13</v>
      </c>
      <c r="C262" t="s">
        <v>8</v>
      </c>
      <c r="D262">
        <v>248</v>
      </c>
      <c r="E262">
        <v>6292.09</v>
      </c>
      <c r="F262">
        <v>1560438.17</v>
      </c>
      <c r="G262">
        <v>1044279.41</v>
      </c>
    </row>
    <row r="263" spans="1:7" x14ac:dyDescent="0.25">
      <c r="A263" s="2">
        <v>45566</v>
      </c>
      <c r="B263" t="s">
        <v>13</v>
      </c>
      <c r="C263" t="s">
        <v>9</v>
      </c>
      <c r="D263">
        <v>148</v>
      </c>
      <c r="E263">
        <v>6066.62</v>
      </c>
      <c r="F263">
        <v>897859.79</v>
      </c>
      <c r="G263">
        <v>564345.91</v>
      </c>
    </row>
    <row r="264" spans="1:7" x14ac:dyDescent="0.25">
      <c r="A264" s="2">
        <v>45566</v>
      </c>
      <c r="B264" t="s">
        <v>13</v>
      </c>
      <c r="C264" t="s">
        <v>10</v>
      </c>
      <c r="D264">
        <v>493</v>
      </c>
      <c r="E264">
        <v>6418.39</v>
      </c>
      <c r="F264">
        <v>3164266.33</v>
      </c>
      <c r="G264">
        <v>2002109.25</v>
      </c>
    </row>
    <row r="265" spans="1:7" x14ac:dyDescent="0.25">
      <c r="A265" s="2">
        <v>45566</v>
      </c>
      <c r="B265" t="s">
        <v>13</v>
      </c>
      <c r="C265" t="s">
        <v>11</v>
      </c>
      <c r="D265">
        <v>257</v>
      </c>
      <c r="E265">
        <v>6201.81</v>
      </c>
      <c r="F265">
        <v>1593865.45</v>
      </c>
      <c r="G265">
        <v>1002740.9</v>
      </c>
    </row>
    <row r="266" spans="1:7" x14ac:dyDescent="0.25">
      <c r="A266" s="2">
        <v>45597</v>
      </c>
      <c r="B266" t="s">
        <v>7</v>
      </c>
      <c r="C266" t="s">
        <v>8</v>
      </c>
      <c r="D266">
        <v>121</v>
      </c>
      <c r="E266">
        <v>43198.29</v>
      </c>
      <c r="F266">
        <v>5226992.62</v>
      </c>
      <c r="G266">
        <v>3188119.57</v>
      </c>
    </row>
    <row r="267" spans="1:7" x14ac:dyDescent="0.25">
      <c r="A267" s="2">
        <v>45597</v>
      </c>
      <c r="B267" t="s">
        <v>7</v>
      </c>
      <c r="C267" t="s">
        <v>9</v>
      </c>
      <c r="D267">
        <v>108</v>
      </c>
      <c r="E267">
        <v>40276.43</v>
      </c>
      <c r="F267">
        <v>4349854.12</v>
      </c>
      <c r="G267">
        <v>2793866.91</v>
      </c>
    </row>
    <row r="268" spans="1:7" x14ac:dyDescent="0.25">
      <c r="A268" s="2">
        <v>45597</v>
      </c>
      <c r="B268" t="s">
        <v>7</v>
      </c>
      <c r="C268" t="s">
        <v>10</v>
      </c>
      <c r="D268">
        <v>106</v>
      </c>
      <c r="E268">
        <v>40087.9</v>
      </c>
      <c r="F268">
        <v>4249317.54</v>
      </c>
      <c r="G268">
        <v>2527835.1</v>
      </c>
    </row>
    <row r="269" spans="1:7" x14ac:dyDescent="0.25">
      <c r="A269" s="2">
        <v>45597</v>
      </c>
      <c r="B269" t="s">
        <v>7</v>
      </c>
      <c r="C269" t="s">
        <v>11</v>
      </c>
      <c r="D269">
        <v>97</v>
      </c>
      <c r="E269">
        <v>40241.79</v>
      </c>
      <c r="F269">
        <v>3903453.17</v>
      </c>
      <c r="G269">
        <v>2290200.69</v>
      </c>
    </row>
    <row r="270" spans="1:7" x14ac:dyDescent="0.25">
      <c r="A270" s="2">
        <v>45597</v>
      </c>
      <c r="B270" t="s">
        <v>12</v>
      </c>
      <c r="C270" t="s">
        <v>8</v>
      </c>
      <c r="D270">
        <v>183</v>
      </c>
      <c r="E270">
        <v>14951.58</v>
      </c>
      <c r="F270">
        <v>2736139.51</v>
      </c>
      <c r="G270">
        <v>1567714.91</v>
      </c>
    </row>
    <row r="271" spans="1:7" x14ac:dyDescent="0.25">
      <c r="A271" s="2">
        <v>45597</v>
      </c>
      <c r="B271" t="s">
        <v>12</v>
      </c>
      <c r="C271" t="s">
        <v>9</v>
      </c>
      <c r="D271">
        <v>163</v>
      </c>
      <c r="E271">
        <v>15089.77</v>
      </c>
      <c r="F271">
        <v>2459633.2200000002</v>
      </c>
      <c r="G271">
        <v>1427155.1</v>
      </c>
    </row>
    <row r="272" spans="1:7" x14ac:dyDescent="0.25">
      <c r="A272" s="2">
        <v>45597</v>
      </c>
      <c r="B272" t="s">
        <v>12</v>
      </c>
      <c r="C272" t="s">
        <v>10</v>
      </c>
      <c r="D272">
        <v>168</v>
      </c>
      <c r="E272">
        <v>13890.93</v>
      </c>
      <c r="F272">
        <v>2333677.0499999998</v>
      </c>
      <c r="G272">
        <v>1394952.15</v>
      </c>
    </row>
    <row r="273" spans="1:7" x14ac:dyDescent="0.25">
      <c r="A273" s="2">
        <v>45597</v>
      </c>
      <c r="B273" t="s">
        <v>12</v>
      </c>
      <c r="C273" t="s">
        <v>11</v>
      </c>
      <c r="D273">
        <v>163</v>
      </c>
      <c r="E273">
        <v>14345.8</v>
      </c>
      <c r="F273">
        <v>2338365.09</v>
      </c>
      <c r="G273">
        <v>1256152.8</v>
      </c>
    </row>
    <row r="274" spans="1:7" x14ac:dyDescent="0.25">
      <c r="A274" s="2">
        <v>45597</v>
      </c>
      <c r="B274" t="s">
        <v>13</v>
      </c>
      <c r="C274" t="s">
        <v>8</v>
      </c>
      <c r="D274">
        <v>295</v>
      </c>
      <c r="E274">
        <v>6290</v>
      </c>
      <c r="F274">
        <v>1855550.1</v>
      </c>
      <c r="G274">
        <v>1134003.3500000001</v>
      </c>
    </row>
    <row r="275" spans="1:7" x14ac:dyDescent="0.25">
      <c r="A275" s="2">
        <v>45597</v>
      </c>
      <c r="B275" t="s">
        <v>13</v>
      </c>
      <c r="C275" t="s">
        <v>9</v>
      </c>
      <c r="D275">
        <v>174</v>
      </c>
      <c r="E275">
        <v>6036.36</v>
      </c>
      <c r="F275">
        <v>1050327.43</v>
      </c>
      <c r="G275">
        <v>688610.28</v>
      </c>
    </row>
    <row r="276" spans="1:7" x14ac:dyDescent="0.25">
      <c r="A276" s="2">
        <v>45597</v>
      </c>
      <c r="B276" t="s">
        <v>13</v>
      </c>
      <c r="C276" t="s">
        <v>10</v>
      </c>
      <c r="D276">
        <v>426</v>
      </c>
      <c r="E276">
        <v>6063.02</v>
      </c>
      <c r="F276">
        <v>2582845.69</v>
      </c>
      <c r="G276">
        <v>1688923.55</v>
      </c>
    </row>
    <row r="277" spans="1:7" x14ac:dyDescent="0.25">
      <c r="A277" s="2">
        <v>45597</v>
      </c>
      <c r="B277" t="s">
        <v>13</v>
      </c>
      <c r="C277" t="s">
        <v>11</v>
      </c>
      <c r="D277">
        <v>322</v>
      </c>
      <c r="E277">
        <v>6318.49</v>
      </c>
      <c r="F277">
        <v>2034555.08</v>
      </c>
      <c r="G277">
        <v>1261403.32</v>
      </c>
    </row>
    <row r="278" spans="1:7" x14ac:dyDescent="0.25">
      <c r="A278" s="2">
        <v>45627</v>
      </c>
      <c r="B278" t="s">
        <v>7</v>
      </c>
      <c r="C278" t="s">
        <v>8</v>
      </c>
      <c r="D278">
        <v>94</v>
      </c>
      <c r="E278">
        <v>41966.23</v>
      </c>
      <c r="F278">
        <v>3944825.82</v>
      </c>
      <c r="G278">
        <v>2406361.14</v>
      </c>
    </row>
    <row r="279" spans="1:7" x14ac:dyDescent="0.25">
      <c r="A279" s="2">
        <v>45627</v>
      </c>
      <c r="B279" t="s">
        <v>7</v>
      </c>
      <c r="C279" t="s">
        <v>9</v>
      </c>
      <c r="D279">
        <v>86</v>
      </c>
      <c r="E279">
        <v>41593.03</v>
      </c>
      <c r="F279">
        <v>3577000.36</v>
      </c>
      <c r="G279">
        <v>2243019.61</v>
      </c>
    </row>
    <row r="280" spans="1:7" x14ac:dyDescent="0.25">
      <c r="A280" s="2">
        <v>45627</v>
      </c>
      <c r="B280" t="s">
        <v>7</v>
      </c>
      <c r="C280" t="s">
        <v>10</v>
      </c>
      <c r="D280">
        <v>125</v>
      </c>
      <c r="E280">
        <v>41246</v>
      </c>
      <c r="F280">
        <v>5155750.24</v>
      </c>
      <c r="G280">
        <v>3100538.02</v>
      </c>
    </row>
    <row r="281" spans="1:7" x14ac:dyDescent="0.25">
      <c r="A281" s="2">
        <v>45627</v>
      </c>
      <c r="B281" t="s">
        <v>7</v>
      </c>
      <c r="C281" t="s">
        <v>11</v>
      </c>
      <c r="D281">
        <v>99</v>
      </c>
      <c r="E281">
        <v>43057.7</v>
      </c>
      <c r="F281">
        <v>4262712.6399999997</v>
      </c>
      <c r="G281">
        <v>2680112.0699999998</v>
      </c>
    </row>
    <row r="282" spans="1:7" x14ac:dyDescent="0.25">
      <c r="A282" s="2">
        <v>45627</v>
      </c>
      <c r="B282" t="s">
        <v>12</v>
      </c>
      <c r="C282" t="s">
        <v>8</v>
      </c>
      <c r="D282">
        <v>198</v>
      </c>
      <c r="E282">
        <v>14160.25</v>
      </c>
      <c r="F282">
        <v>2803728.73</v>
      </c>
      <c r="G282">
        <v>1596685.05</v>
      </c>
    </row>
    <row r="283" spans="1:7" x14ac:dyDescent="0.25">
      <c r="A283" s="2">
        <v>45627</v>
      </c>
      <c r="B283" t="s">
        <v>12</v>
      </c>
      <c r="C283" t="s">
        <v>9</v>
      </c>
      <c r="D283">
        <v>230</v>
      </c>
      <c r="E283">
        <v>14590.17</v>
      </c>
      <c r="F283">
        <v>3355738.25</v>
      </c>
      <c r="G283">
        <v>1883913.24</v>
      </c>
    </row>
    <row r="284" spans="1:7" x14ac:dyDescent="0.25">
      <c r="A284" s="2">
        <v>45627</v>
      </c>
      <c r="B284" t="s">
        <v>12</v>
      </c>
      <c r="C284" t="s">
        <v>10</v>
      </c>
      <c r="D284">
        <v>150</v>
      </c>
      <c r="E284">
        <v>14377.84</v>
      </c>
      <c r="F284">
        <v>2156676.36</v>
      </c>
      <c r="G284">
        <v>1262430.93</v>
      </c>
    </row>
    <row r="285" spans="1:7" x14ac:dyDescent="0.25">
      <c r="A285" s="2">
        <v>45627</v>
      </c>
      <c r="B285" t="s">
        <v>12</v>
      </c>
      <c r="C285" t="s">
        <v>11</v>
      </c>
      <c r="D285">
        <v>148</v>
      </c>
      <c r="E285">
        <v>14749.71</v>
      </c>
      <c r="F285">
        <v>2182957.1800000002</v>
      </c>
      <c r="G285">
        <v>1277712.75</v>
      </c>
    </row>
    <row r="286" spans="1:7" x14ac:dyDescent="0.25">
      <c r="A286" s="2">
        <v>45627</v>
      </c>
      <c r="B286" t="s">
        <v>13</v>
      </c>
      <c r="C286" t="s">
        <v>8</v>
      </c>
      <c r="D286">
        <v>372</v>
      </c>
      <c r="E286">
        <v>5932.97</v>
      </c>
      <c r="F286">
        <v>2207065.91</v>
      </c>
      <c r="G286">
        <v>1405952.71</v>
      </c>
    </row>
    <row r="287" spans="1:7" x14ac:dyDescent="0.25">
      <c r="A287" s="2">
        <v>45627</v>
      </c>
      <c r="B287" t="s">
        <v>13</v>
      </c>
      <c r="C287" t="s">
        <v>9</v>
      </c>
      <c r="D287">
        <v>414</v>
      </c>
      <c r="E287">
        <v>6255.57</v>
      </c>
      <c r="F287">
        <v>2589806.94</v>
      </c>
      <c r="G287">
        <v>1652482.51</v>
      </c>
    </row>
    <row r="288" spans="1:7" x14ac:dyDescent="0.25">
      <c r="A288" s="2">
        <v>45627</v>
      </c>
      <c r="B288" t="s">
        <v>13</v>
      </c>
      <c r="C288" t="s">
        <v>10</v>
      </c>
      <c r="D288">
        <v>246</v>
      </c>
      <c r="E288">
        <v>6199.66</v>
      </c>
      <c r="F288">
        <v>1525117.5</v>
      </c>
      <c r="G288">
        <v>987401.68</v>
      </c>
    </row>
    <row r="289" spans="1:7" x14ac:dyDescent="0.25">
      <c r="A289" s="2">
        <v>45627</v>
      </c>
      <c r="B289" t="s">
        <v>13</v>
      </c>
      <c r="C289" t="s">
        <v>11</v>
      </c>
      <c r="D289">
        <v>309</v>
      </c>
      <c r="E289">
        <v>6188.05</v>
      </c>
      <c r="F289">
        <v>1912108.68</v>
      </c>
      <c r="G289">
        <v>1224978.1499999999</v>
      </c>
    </row>
    <row r="290" spans="1:7" x14ac:dyDescent="0.25">
      <c r="A290" s="2">
        <v>45658</v>
      </c>
      <c r="B290" t="s">
        <v>7</v>
      </c>
      <c r="C290" t="s">
        <v>8</v>
      </c>
      <c r="D290">
        <v>92</v>
      </c>
      <c r="E290">
        <v>42344.87</v>
      </c>
      <c r="F290">
        <v>3895728.31</v>
      </c>
      <c r="G290">
        <v>2375487.1800000002</v>
      </c>
    </row>
    <row r="291" spans="1:7" x14ac:dyDescent="0.25">
      <c r="A291" s="2">
        <v>45658</v>
      </c>
      <c r="B291" t="s">
        <v>7</v>
      </c>
      <c r="C291" t="s">
        <v>9</v>
      </c>
      <c r="D291">
        <v>116</v>
      </c>
      <c r="E291">
        <v>42474.78</v>
      </c>
      <c r="F291">
        <v>4927073.9800000004</v>
      </c>
      <c r="G291">
        <v>3119713.11</v>
      </c>
    </row>
    <row r="292" spans="1:7" x14ac:dyDescent="0.25">
      <c r="A292" s="2">
        <v>45658</v>
      </c>
      <c r="B292" t="s">
        <v>7</v>
      </c>
      <c r="C292" t="s">
        <v>10</v>
      </c>
      <c r="D292">
        <v>132</v>
      </c>
      <c r="E292">
        <v>43726.84</v>
      </c>
      <c r="F292">
        <v>5771942.54</v>
      </c>
      <c r="G292">
        <v>3749341.13</v>
      </c>
    </row>
    <row r="293" spans="1:7" x14ac:dyDescent="0.25">
      <c r="A293" s="2">
        <v>45658</v>
      </c>
      <c r="B293" t="s">
        <v>7</v>
      </c>
      <c r="C293" t="s">
        <v>11</v>
      </c>
      <c r="D293">
        <v>111</v>
      </c>
      <c r="E293">
        <v>42940.59</v>
      </c>
      <c r="F293">
        <v>4766406.0199999996</v>
      </c>
      <c r="G293">
        <v>2967769.19</v>
      </c>
    </row>
    <row r="294" spans="1:7" x14ac:dyDescent="0.25">
      <c r="A294" s="2">
        <v>45658</v>
      </c>
      <c r="B294" t="s">
        <v>12</v>
      </c>
      <c r="C294" t="s">
        <v>8</v>
      </c>
      <c r="D294">
        <v>261</v>
      </c>
      <c r="E294">
        <v>14702.5</v>
      </c>
      <c r="F294">
        <v>3837352.01</v>
      </c>
      <c r="G294">
        <v>2331407.7799999998</v>
      </c>
    </row>
    <row r="295" spans="1:7" x14ac:dyDescent="0.25">
      <c r="A295" s="2">
        <v>45658</v>
      </c>
      <c r="B295" t="s">
        <v>12</v>
      </c>
      <c r="C295" t="s">
        <v>9</v>
      </c>
      <c r="D295">
        <v>213</v>
      </c>
      <c r="E295">
        <v>14983.99</v>
      </c>
      <c r="F295">
        <v>3191588.84</v>
      </c>
      <c r="G295">
        <v>1732556.09</v>
      </c>
    </row>
    <row r="296" spans="1:7" x14ac:dyDescent="0.25">
      <c r="A296" s="2">
        <v>45658</v>
      </c>
      <c r="B296" t="s">
        <v>12</v>
      </c>
      <c r="C296" t="s">
        <v>10</v>
      </c>
      <c r="D296">
        <v>216</v>
      </c>
      <c r="E296">
        <v>14551.06</v>
      </c>
      <c r="F296">
        <v>3143028.75</v>
      </c>
      <c r="G296">
        <v>1797921.44</v>
      </c>
    </row>
    <row r="297" spans="1:7" x14ac:dyDescent="0.25">
      <c r="A297" s="2">
        <v>45658</v>
      </c>
      <c r="B297" t="s">
        <v>12</v>
      </c>
      <c r="C297" t="s">
        <v>11</v>
      </c>
      <c r="D297">
        <v>161</v>
      </c>
      <c r="E297">
        <v>14353.02</v>
      </c>
      <c r="F297">
        <v>2310835.77</v>
      </c>
      <c r="G297">
        <v>1305448.52</v>
      </c>
    </row>
    <row r="298" spans="1:7" x14ac:dyDescent="0.25">
      <c r="A298" s="2">
        <v>45658</v>
      </c>
      <c r="B298" t="s">
        <v>13</v>
      </c>
      <c r="C298" t="s">
        <v>8</v>
      </c>
      <c r="D298">
        <v>320</v>
      </c>
      <c r="E298">
        <v>6335.96</v>
      </c>
      <c r="F298">
        <v>2027505.66</v>
      </c>
      <c r="G298">
        <v>1264330.97</v>
      </c>
    </row>
    <row r="299" spans="1:7" x14ac:dyDescent="0.25">
      <c r="A299" s="2">
        <v>45658</v>
      </c>
      <c r="B299" t="s">
        <v>13</v>
      </c>
      <c r="C299" t="s">
        <v>9</v>
      </c>
      <c r="D299">
        <v>405</v>
      </c>
      <c r="E299">
        <v>6069.62</v>
      </c>
      <c r="F299">
        <v>2458194.58</v>
      </c>
      <c r="G299">
        <v>1570894.33</v>
      </c>
    </row>
    <row r="300" spans="1:7" x14ac:dyDescent="0.25">
      <c r="A300" s="2">
        <v>45658</v>
      </c>
      <c r="B300" t="s">
        <v>13</v>
      </c>
      <c r="C300" t="s">
        <v>10</v>
      </c>
      <c r="D300">
        <v>322</v>
      </c>
      <c r="E300">
        <v>6316.07</v>
      </c>
      <c r="F300">
        <v>2033773.97</v>
      </c>
      <c r="G300">
        <v>1330124.32</v>
      </c>
    </row>
    <row r="301" spans="1:7" x14ac:dyDescent="0.25">
      <c r="A301" s="2">
        <v>45658</v>
      </c>
      <c r="B301" t="s">
        <v>13</v>
      </c>
      <c r="C301" t="s">
        <v>11</v>
      </c>
      <c r="D301">
        <v>323</v>
      </c>
      <c r="E301">
        <v>6456.17</v>
      </c>
      <c r="F301">
        <v>2085342.85</v>
      </c>
      <c r="G301">
        <v>1310499.5</v>
      </c>
    </row>
    <row r="302" spans="1:7" x14ac:dyDescent="0.25">
      <c r="A302" s="2">
        <v>45689</v>
      </c>
      <c r="B302" t="s">
        <v>7</v>
      </c>
      <c r="C302" t="s">
        <v>8</v>
      </c>
      <c r="D302">
        <v>163</v>
      </c>
      <c r="E302">
        <v>42193.74</v>
      </c>
      <c r="F302">
        <v>6877579.5899999999</v>
      </c>
      <c r="G302">
        <v>4230227.26</v>
      </c>
    </row>
    <row r="303" spans="1:7" x14ac:dyDescent="0.25">
      <c r="A303" s="2">
        <v>45689</v>
      </c>
      <c r="B303" t="s">
        <v>7</v>
      </c>
      <c r="C303" t="s">
        <v>9</v>
      </c>
      <c r="D303">
        <v>108</v>
      </c>
      <c r="E303">
        <v>41319.31</v>
      </c>
      <c r="F303">
        <v>4462485.8099999996</v>
      </c>
      <c r="G303">
        <v>2642384.23</v>
      </c>
    </row>
    <row r="304" spans="1:7" x14ac:dyDescent="0.25">
      <c r="A304" s="2">
        <v>45689</v>
      </c>
      <c r="B304" t="s">
        <v>7</v>
      </c>
      <c r="C304" t="s">
        <v>10</v>
      </c>
      <c r="D304">
        <v>104</v>
      </c>
      <c r="E304">
        <v>43490.37</v>
      </c>
      <c r="F304">
        <v>4522998.34</v>
      </c>
      <c r="G304">
        <v>2780227.71</v>
      </c>
    </row>
    <row r="305" spans="1:7" x14ac:dyDescent="0.25">
      <c r="A305" s="2">
        <v>45689</v>
      </c>
      <c r="B305" t="s">
        <v>7</v>
      </c>
      <c r="C305" t="s">
        <v>11</v>
      </c>
      <c r="D305">
        <v>112</v>
      </c>
      <c r="E305">
        <v>41546.730000000003</v>
      </c>
      <c r="F305">
        <v>4653233.7699999996</v>
      </c>
      <c r="G305">
        <v>3080046.83</v>
      </c>
    </row>
    <row r="306" spans="1:7" x14ac:dyDescent="0.25">
      <c r="A306" s="2">
        <v>45689</v>
      </c>
      <c r="B306" t="s">
        <v>12</v>
      </c>
      <c r="C306" t="s">
        <v>8</v>
      </c>
      <c r="D306">
        <v>202</v>
      </c>
      <c r="E306">
        <v>14969.13</v>
      </c>
      <c r="F306">
        <v>3023763.42</v>
      </c>
      <c r="G306">
        <v>1753565.25</v>
      </c>
    </row>
    <row r="307" spans="1:7" x14ac:dyDescent="0.25">
      <c r="A307" s="2">
        <v>45689</v>
      </c>
      <c r="B307" t="s">
        <v>12</v>
      </c>
      <c r="C307" t="s">
        <v>9</v>
      </c>
      <c r="D307">
        <v>235</v>
      </c>
      <c r="E307">
        <v>14355.18</v>
      </c>
      <c r="F307">
        <v>3373466.88</v>
      </c>
      <c r="G307">
        <v>1955947.66</v>
      </c>
    </row>
    <row r="308" spans="1:7" x14ac:dyDescent="0.25">
      <c r="A308" s="2">
        <v>45689</v>
      </c>
      <c r="B308" t="s">
        <v>12</v>
      </c>
      <c r="C308" t="s">
        <v>10</v>
      </c>
      <c r="D308">
        <v>136</v>
      </c>
      <c r="E308">
        <v>14577.58</v>
      </c>
      <c r="F308">
        <v>1982550.84</v>
      </c>
      <c r="G308">
        <v>1170891.17</v>
      </c>
    </row>
    <row r="309" spans="1:7" x14ac:dyDescent="0.25">
      <c r="A309" s="2">
        <v>45689</v>
      </c>
      <c r="B309" t="s">
        <v>12</v>
      </c>
      <c r="C309" t="s">
        <v>11</v>
      </c>
      <c r="D309">
        <v>171</v>
      </c>
      <c r="E309">
        <v>14270.02</v>
      </c>
      <c r="F309">
        <v>2440172.84</v>
      </c>
      <c r="G309">
        <v>1377322.79</v>
      </c>
    </row>
    <row r="310" spans="1:7" x14ac:dyDescent="0.25">
      <c r="A310" s="2">
        <v>45689</v>
      </c>
      <c r="B310" t="s">
        <v>13</v>
      </c>
      <c r="C310" t="s">
        <v>8</v>
      </c>
      <c r="D310">
        <v>482</v>
      </c>
      <c r="E310">
        <v>6277.6</v>
      </c>
      <c r="F310">
        <v>3025801.5</v>
      </c>
      <c r="G310">
        <v>1941314.9</v>
      </c>
    </row>
    <row r="311" spans="1:7" x14ac:dyDescent="0.25">
      <c r="A311" s="2">
        <v>45689</v>
      </c>
      <c r="B311" t="s">
        <v>13</v>
      </c>
      <c r="C311" t="s">
        <v>9</v>
      </c>
      <c r="D311">
        <v>257</v>
      </c>
      <c r="E311">
        <v>6424.71</v>
      </c>
      <c r="F311">
        <v>1651151.52</v>
      </c>
      <c r="G311">
        <v>1101263.6499999999</v>
      </c>
    </row>
    <row r="312" spans="1:7" x14ac:dyDescent="0.25">
      <c r="A312" s="2">
        <v>45689</v>
      </c>
      <c r="B312" t="s">
        <v>13</v>
      </c>
      <c r="C312" t="s">
        <v>10</v>
      </c>
      <c r="D312">
        <v>508</v>
      </c>
      <c r="E312">
        <v>6222.29</v>
      </c>
      <c r="F312">
        <v>3160922.67</v>
      </c>
      <c r="G312">
        <v>2018491.68</v>
      </c>
    </row>
    <row r="313" spans="1:7" x14ac:dyDescent="0.25">
      <c r="A313" s="2">
        <v>45689</v>
      </c>
      <c r="B313" t="s">
        <v>13</v>
      </c>
      <c r="C313" t="s">
        <v>11</v>
      </c>
      <c r="D313">
        <v>369</v>
      </c>
      <c r="E313">
        <v>6091.15</v>
      </c>
      <c r="F313">
        <v>2247634.89</v>
      </c>
      <c r="G313">
        <v>1451298.94</v>
      </c>
    </row>
    <row r="314" spans="1:7" x14ac:dyDescent="0.25">
      <c r="A314" s="2">
        <v>45717</v>
      </c>
      <c r="B314" t="s">
        <v>7</v>
      </c>
      <c r="C314" t="s">
        <v>8</v>
      </c>
      <c r="D314">
        <v>101</v>
      </c>
      <c r="E314">
        <v>41776.68</v>
      </c>
      <c r="F314">
        <v>4219444.3899999997</v>
      </c>
      <c r="G314">
        <v>2622320.59</v>
      </c>
    </row>
    <row r="315" spans="1:7" x14ac:dyDescent="0.25">
      <c r="A315" s="2">
        <v>45717</v>
      </c>
      <c r="B315" t="s">
        <v>7</v>
      </c>
      <c r="C315" t="s">
        <v>9</v>
      </c>
      <c r="D315">
        <v>152</v>
      </c>
      <c r="E315">
        <v>41080.18</v>
      </c>
      <c r="F315">
        <v>6244187.2300000004</v>
      </c>
      <c r="G315">
        <v>3698657.56</v>
      </c>
    </row>
    <row r="316" spans="1:7" x14ac:dyDescent="0.25">
      <c r="A316" s="2">
        <v>45717</v>
      </c>
      <c r="B316" t="s">
        <v>7</v>
      </c>
      <c r="C316" t="s">
        <v>10</v>
      </c>
      <c r="D316">
        <v>85</v>
      </c>
      <c r="E316">
        <v>40560.82</v>
      </c>
      <c r="F316">
        <v>3447669.28</v>
      </c>
      <c r="G316">
        <v>2203874.5699999998</v>
      </c>
    </row>
    <row r="317" spans="1:7" x14ac:dyDescent="0.25">
      <c r="A317" s="2">
        <v>45717</v>
      </c>
      <c r="B317" t="s">
        <v>7</v>
      </c>
      <c r="C317" t="s">
        <v>11</v>
      </c>
      <c r="D317">
        <v>122</v>
      </c>
      <c r="E317">
        <v>42868.55</v>
      </c>
      <c r="F317">
        <v>5229963.62</v>
      </c>
      <c r="G317">
        <v>3270310.14</v>
      </c>
    </row>
    <row r="318" spans="1:7" x14ac:dyDescent="0.25">
      <c r="A318" s="2">
        <v>45717</v>
      </c>
      <c r="B318" t="s">
        <v>12</v>
      </c>
      <c r="C318" t="s">
        <v>8</v>
      </c>
      <c r="D318">
        <v>342</v>
      </c>
      <c r="E318">
        <v>14547.18</v>
      </c>
      <c r="F318">
        <v>4975136.3499999996</v>
      </c>
      <c r="G318">
        <v>2968668.54</v>
      </c>
    </row>
    <row r="319" spans="1:7" x14ac:dyDescent="0.25">
      <c r="A319" s="2">
        <v>45717</v>
      </c>
      <c r="B319" t="s">
        <v>12</v>
      </c>
      <c r="C319" t="s">
        <v>9</v>
      </c>
      <c r="D319">
        <v>221</v>
      </c>
      <c r="E319">
        <v>14553.9</v>
      </c>
      <c r="F319">
        <v>3216411.54</v>
      </c>
      <c r="G319">
        <v>1866498.97</v>
      </c>
    </row>
    <row r="320" spans="1:7" x14ac:dyDescent="0.25">
      <c r="A320" s="2">
        <v>45717</v>
      </c>
      <c r="B320" t="s">
        <v>12</v>
      </c>
      <c r="C320" t="s">
        <v>10</v>
      </c>
      <c r="D320">
        <v>144</v>
      </c>
      <c r="E320">
        <v>14848.65</v>
      </c>
      <c r="F320">
        <v>2138206.12</v>
      </c>
      <c r="G320">
        <v>1224731.68</v>
      </c>
    </row>
    <row r="321" spans="1:7" x14ac:dyDescent="0.25">
      <c r="A321" s="2">
        <v>45717</v>
      </c>
      <c r="B321" t="s">
        <v>12</v>
      </c>
      <c r="C321" t="s">
        <v>11</v>
      </c>
      <c r="D321">
        <v>271</v>
      </c>
      <c r="E321">
        <v>13896.6</v>
      </c>
      <c r="F321">
        <v>3765978.89</v>
      </c>
      <c r="G321">
        <v>2190392.4</v>
      </c>
    </row>
    <row r="322" spans="1:7" x14ac:dyDescent="0.25">
      <c r="A322" s="2">
        <v>45717</v>
      </c>
      <c r="B322" t="s">
        <v>13</v>
      </c>
      <c r="C322" t="s">
        <v>8</v>
      </c>
      <c r="D322">
        <v>439</v>
      </c>
      <c r="E322">
        <v>6195.92</v>
      </c>
      <c r="F322">
        <v>2720009.75</v>
      </c>
      <c r="G322">
        <v>1793817.15</v>
      </c>
    </row>
    <row r="323" spans="1:7" x14ac:dyDescent="0.25">
      <c r="A323" s="2">
        <v>45717</v>
      </c>
      <c r="B323" t="s">
        <v>13</v>
      </c>
      <c r="C323" t="s">
        <v>9</v>
      </c>
      <c r="D323">
        <v>334</v>
      </c>
      <c r="E323">
        <v>6349.87</v>
      </c>
      <c r="F323">
        <v>2120855.7000000002</v>
      </c>
      <c r="G323">
        <v>1346948.62</v>
      </c>
    </row>
    <row r="324" spans="1:7" x14ac:dyDescent="0.25">
      <c r="A324" s="2">
        <v>45717</v>
      </c>
      <c r="B324" t="s">
        <v>13</v>
      </c>
      <c r="C324" t="s">
        <v>10</v>
      </c>
      <c r="D324">
        <v>224</v>
      </c>
      <c r="E324">
        <v>6047.12</v>
      </c>
      <c r="F324">
        <v>1354553.83</v>
      </c>
      <c r="G324">
        <v>863032.17</v>
      </c>
    </row>
    <row r="325" spans="1:7" x14ac:dyDescent="0.25">
      <c r="A325" s="2">
        <v>45717</v>
      </c>
      <c r="B325" t="s">
        <v>13</v>
      </c>
      <c r="C325" t="s">
        <v>11</v>
      </c>
      <c r="D325">
        <v>289</v>
      </c>
      <c r="E325">
        <v>6027.46</v>
      </c>
      <c r="F325">
        <v>1741934.72</v>
      </c>
      <c r="G325">
        <v>1079195.69</v>
      </c>
    </row>
    <row r="326" spans="1:7" x14ac:dyDescent="0.25">
      <c r="A326" s="2">
        <v>45748</v>
      </c>
      <c r="B326" t="s">
        <v>7</v>
      </c>
      <c r="C326" t="s">
        <v>8</v>
      </c>
      <c r="D326">
        <v>156</v>
      </c>
      <c r="E326">
        <v>42132.92</v>
      </c>
      <c r="F326">
        <v>6572735.8300000001</v>
      </c>
      <c r="G326">
        <v>4226975.47</v>
      </c>
    </row>
    <row r="327" spans="1:7" x14ac:dyDescent="0.25">
      <c r="A327" s="2">
        <v>45748</v>
      </c>
      <c r="B327" t="s">
        <v>7</v>
      </c>
      <c r="C327" t="s">
        <v>9</v>
      </c>
      <c r="D327">
        <v>55</v>
      </c>
      <c r="E327">
        <v>43565.65</v>
      </c>
      <c r="F327">
        <v>2396110.73</v>
      </c>
      <c r="G327">
        <v>1495455.7</v>
      </c>
    </row>
    <row r="328" spans="1:7" x14ac:dyDescent="0.25">
      <c r="A328" s="2">
        <v>45748</v>
      </c>
      <c r="B328" t="s">
        <v>7</v>
      </c>
      <c r="C328" t="s">
        <v>10</v>
      </c>
      <c r="D328">
        <v>126</v>
      </c>
      <c r="E328">
        <v>41033.370000000003</v>
      </c>
      <c r="F328">
        <v>5170204.45</v>
      </c>
      <c r="G328">
        <v>3236074.02</v>
      </c>
    </row>
    <row r="329" spans="1:7" x14ac:dyDescent="0.25">
      <c r="A329" s="2">
        <v>45748</v>
      </c>
      <c r="B329" t="s">
        <v>7</v>
      </c>
      <c r="C329" t="s">
        <v>11</v>
      </c>
      <c r="D329">
        <v>125</v>
      </c>
      <c r="E329">
        <v>43445.86</v>
      </c>
      <c r="F329">
        <v>5430733.0999999996</v>
      </c>
      <c r="G329">
        <v>3377106.12</v>
      </c>
    </row>
    <row r="330" spans="1:7" x14ac:dyDescent="0.25">
      <c r="A330" s="2">
        <v>45748</v>
      </c>
      <c r="B330" t="s">
        <v>12</v>
      </c>
      <c r="C330" t="s">
        <v>8</v>
      </c>
      <c r="D330">
        <v>337</v>
      </c>
      <c r="E330">
        <v>14436.4</v>
      </c>
      <c r="F330">
        <v>4865067.45</v>
      </c>
      <c r="G330">
        <v>2800446.86</v>
      </c>
    </row>
    <row r="331" spans="1:7" x14ac:dyDescent="0.25">
      <c r="A331" s="2">
        <v>45748</v>
      </c>
      <c r="B331" t="s">
        <v>12</v>
      </c>
      <c r="C331" t="s">
        <v>9</v>
      </c>
      <c r="D331">
        <v>262</v>
      </c>
      <c r="E331">
        <v>14568.54</v>
      </c>
      <c r="F331">
        <v>3816958.25</v>
      </c>
      <c r="G331">
        <v>2145529.31</v>
      </c>
    </row>
    <row r="332" spans="1:7" x14ac:dyDescent="0.25">
      <c r="A332" s="2">
        <v>45748</v>
      </c>
      <c r="B332" t="s">
        <v>12</v>
      </c>
      <c r="C332" t="s">
        <v>10</v>
      </c>
      <c r="D332">
        <v>212</v>
      </c>
      <c r="E332">
        <v>13973.83</v>
      </c>
      <c r="F332">
        <v>2962452</v>
      </c>
      <c r="G332">
        <v>1761393.97</v>
      </c>
    </row>
    <row r="333" spans="1:7" x14ac:dyDescent="0.25">
      <c r="A333" s="2">
        <v>45748</v>
      </c>
      <c r="B333" t="s">
        <v>12</v>
      </c>
      <c r="C333" t="s">
        <v>11</v>
      </c>
      <c r="D333">
        <v>305</v>
      </c>
      <c r="E333">
        <v>14126.3</v>
      </c>
      <c r="F333">
        <v>4308522.53</v>
      </c>
      <c r="G333">
        <v>2361687.94</v>
      </c>
    </row>
    <row r="334" spans="1:7" x14ac:dyDescent="0.25">
      <c r="A334" s="2">
        <v>45748</v>
      </c>
      <c r="B334" t="s">
        <v>13</v>
      </c>
      <c r="C334" t="s">
        <v>8</v>
      </c>
      <c r="D334">
        <v>437</v>
      </c>
      <c r="E334">
        <v>6336.03</v>
      </c>
      <c r="F334">
        <v>2768846.82</v>
      </c>
      <c r="G334">
        <v>1669871.8</v>
      </c>
    </row>
    <row r="335" spans="1:7" x14ac:dyDescent="0.25">
      <c r="A335" s="2">
        <v>45748</v>
      </c>
      <c r="B335" t="s">
        <v>13</v>
      </c>
      <c r="C335" t="s">
        <v>9</v>
      </c>
      <c r="D335">
        <v>450</v>
      </c>
      <c r="E335">
        <v>6194.73</v>
      </c>
      <c r="F335">
        <v>2787630.67</v>
      </c>
      <c r="G335">
        <v>1809819.98</v>
      </c>
    </row>
    <row r="336" spans="1:7" x14ac:dyDescent="0.25">
      <c r="A336" s="2">
        <v>45748</v>
      </c>
      <c r="B336" t="s">
        <v>13</v>
      </c>
      <c r="C336" t="s">
        <v>10</v>
      </c>
      <c r="D336">
        <v>340</v>
      </c>
      <c r="E336">
        <v>6354.51</v>
      </c>
      <c r="F336">
        <v>2160532.17</v>
      </c>
      <c r="G336">
        <v>1378860.96</v>
      </c>
    </row>
    <row r="337" spans="1:7" x14ac:dyDescent="0.25">
      <c r="A337" s="2">
        <v>45748</v>
      </c>
      <c r="B337" t="s">
        <v>13</v>
      </c>
      <c r="C337" t="s">
        <v>11</v>
      </c>
      <c r="D337">
        <v>393</v>
      </c>
      <c r="E337">
        <v>6124.18</v>
      </c>
      <c r="F337">
        <v>2406800.85</v>
      </c>
      <c r="G337">
        <v>1571510.67</v>
      </c>
    </row>
    <row r="338" spans="1:7" x14ac:dyDescent="0.25">
      <c r="A338" s="2">
        <v>45778</v>
      </c>
      <c r="B338" t="s">
        <v>7</v>
      </c>
      <c r="C338" t="s">
        <v>8</v>
      </c>
      <c r="D338">
        <v>96</v>
      </c>
      <c r="E338">
        <v>42506.35</v>
      </c>
      <c r="F338">
        <v>4080609.21</v>
      </c>
      <c r="G338">
        <v>2540260.4500000002</v>
      </c>
    </row>
    <row r="339" spans="1:7" x14ac:dyDescent="0.25">
      <c r="A339" s="2">
        <v>45778</v>
      </c>
      <c r="B339" t="s">
        <v>7</v>
      </c>
      <c r="C339" t="s">
        <v>9</v>
      </c>
      <c r="D339">
        <v>177</v>
      </c>
      <c r="E339">
        <v>40396.82</v>
      </c>
      <c r="F339">
        <v>7150236.7400000002</v>
      </c>
      <c r="G339">
        <v>4226917.04</v>
      </c>
    </row>
    <row r="340" spans="1:7" x14ac:dyDescent="0.25">
      <c r="A340" s="2">
        <v>45778</v>
      </c>
      <c r="B340" t="s">
        <v>7</v>
      </c>
      <c r="C340" t="s">
        <v>10</v>
      </c>
      <c r="D340">
        <v>116</v>
      </c>
      <c r="E340">
        <v>41131.96</v>
      </c>
      <c r="F340">
        <v>4771307.51</v>
      </c>
      <c r="G340">
        <v>3026552.07</v>
      </c>
    </row>
    <row r="341" spans="1:7" x14ac:dyDescent="0.25">
      <c r="A341" s="2">
        <v>45778</v>
      </c>
      <c r="B341" t="s">
        <v>7</v>
      </c>
      <c r="C341" t="s">
        <v>11</v>
      </c>
      <c r="D341">
        <v>95</v>
      </c>
      <c r="E341">
        <v>41281.78</v>
      </c>
      <c r="F341">
        <v>3921769.13</v>
      </c>
      <c r="G341">
        <v>2444649.84</v>
      </c>
    </row>
    <row r="342" spans="1:7" x14ac:dyDescent="0.25">
      <c r="A342" s="2">
        <v>45778</v>
      </c>
      <c r="B342" t="s">
        <v>12</v>
      </c>
      <c r="C342" t="s">
        <v>8</v>
      </c>
      <c r="D342">
        <v>163</v>
      </c>
      <c r="E342">
        <v>14923.68</v>
      </c>
      <c r="F342">
        <v>2432559.34</v>
      </c>
      <c r="G342">
        <v>1404119.53</v>
      </c>
    </row>
    <row r="343" spans="1:7" x14ac:dyDescent="0.25">
      <c r="A343" s="2">
        <v>45778</v>
      </c>
      <c r="B343" t="s">
        <v>12</v>
      </c>
      <c r="C343" t="s">
        <v>9</v>
      </c>
      <c r="D343">
        <v>175</v>
      </c>
      <c r="E343">
        <v>14168.17</v>
      </c>
      <c r="F343">
        <v>2479430.4900000002</v>
      </c>
      <c r="G343">
        <v>1424358.14</v>
      </c>
    </row>
    <row r="344" spans="1:7" x14ac:dyDescent="0.25">
      <c r="A344" s="2">
        <v>45778</v>
      </c>
      <c r="B344" t="s">
        <v>12</v>
      </c>
      <c r="C344" t="s">
        <v>10</v>
      </c>
      <c r="D344">
        <v>165</v>
      </c>
      <c r="E344">
        <v>14098.72</v>
      </c>
      <c r="F344">
        <v>2326288.9500000002</v>
      </c>
      <c r="G344">
        <v>1434627.2</v>
      </c>
    </row>
    <row r="345" spans="1:7" x14ac:dyDescent="0.25">
      <c r="A345" s="2">
        <v>45778</v>
      </c>
      <c r="B345" t="s">
        <v>12</v>
      </c>
      <c r="C345" t="s">
        <v>11</v>
      </c>
      <c r="D345">
        <v>155</v>
      </c>
      <c r="E345">
        <v>14264.81</v>
      </c>
      <c r="F345">
        <v>2211045.1</v>
      </c>
      <c r="G345">
        <v>1267429.8899999999</v>
      </c>
    </row>
    <row r="346" spans="1:7" x14ac:dyDescent="0.25">
      <c r="A346" s="2">
        <v>45778</v>
      </c>
      <c r="B346" t="s">
        <v>13</v>
      </c>
      <c r="C346" t="s">
        <v>8</v>
      </c>
      <c r="D346">
        <v>616</v>
      </c>
      <c r="E346">
        <v>6261.05</v>
      </c>
      <c r="F346">
        <v>3856805.51</v>
      </c>
      <c r="G346">
        <v>2562448.12</v>
      </c>
    </row>
    <row r="347" spans="1:7" x14ac:dyDescent="0.25">
      <c r="A347" s="2">
        <v>45778</v>
      </c>
      <c r="B347" t="s">
        <v>13</v>
      </c>
      <c r="C347" t="s">
        <v>9</v>
      </c>
      <c r="D347">
        <v>216</v>
      </c>
      <c r="E347">
        <v>6497.47</v>
      </c>
      <c r="F347">
        <v>1403453.17</v>
      </c>
      <c r="G347">
        <v>864360.12</v>
      </c>
    </row>
    <row r="348" spans="1:7" x14ac:dyDescent="0.25">
      <c r="A348" s="2">
        <v>45778</v>
      </c>
      <c r="B348" t="s">
        <v>13</v>
      </c>
      <c r="C348" t="s">
        <v>10</v>
      </c>
      <c r="D348">
        <v>310</v>
      </c>
      <c r="E348">
        <v>6277.44</v>
      </c>
      <c r="F348">
        <v>1946005.52</v>
      </c>
      <c r="G348">
        <v>1230304.8600000001</v>
      </c>
    </row>
    <row r="349" spans="1:7" x14ac:dyDescent="0.25">
      <c r="A349" s="2">
        <v>45778</v>
      </c>
      <c r="B349" t="s">
        <v>13</v>
      </c>
      <c r="C349" t="s">
        <v>11</v>
      </c>
      <c r="D349">
        <v>309</v>
      </c>
      <c r="E349">
        <v>5917.28</v>
      </c>
      <c r="F349">
        <v>1828439.7</v>
      </c>
      <c r="G349">
        <v>1166651.6000000001</v>
      </c>
    </row>
    <row r="350" spans="1:7" x14ac:dyDescent="0.25">
      <c r="A350" s="2">
        <v>45809</v>
      </c>
      <c r="B350" t="s">
        <v>7</v>
      </c>
      <c r="C350" t="s">
        <v>8</v>
      </c>
      <c r="D350">
        <v>128</v>
      </c>
      <c r="E350">
        <v>41431.199999999997</v>
      </c>
      <c r="F350">
        <v>5303193.58</v>
      </c>
      <c r="G350">
        <v>3134202.36</v>
      </c>
    </row>
    <row r="351" spans="1:7" x14ac:dyDescent="0.25">
      <c r="A351" s="2">
        <v>45809</v>
      </c>
      <c r="B351" t="s">
        <v>7</v>
      </c>
      <c r="C351" t="s">
        <v>9</v>
      </c>
      <c r="D351">
        <v>99</v>
      </c>
      <c r="E351">
        <v>42834.21</v>
      </c>
      <c r="F351">
        <v>4240587.1399999997</v>
      </c>
      <c r="G351">
        <v>2650253.25</v>
      </c>
    </row>
    <row r="352" spans="1:7" x14ac:dyDescent="0.25">
      <c r="A352" s="2">
        <v>45809</v>
      </c>
      <c r="B352" t="s">
        <v>7</v>
      </c>
      <c r="C352" t="s">
        <v>10</v>
      </c>
      <c r="D352">
        <v>125</v>
      </c>
      <c r="E352">
        <v>44059.15</v>
      </c>
      <c r="F352">
        <v>5507393.7300000004</v>
      </c>
      <c r="G352">
        <v>3451356.61</v>
      </c>
    </row>
    <row r="353" spans="1:7" x14ac:dyDescent="0.25">
      <c r="A353" s="2">
        <v>45809</v>
      </c>
      <c r="B353" t="s">
        <v>7</v>
      </c>
      <c r="C353" t="s">
        <v>11</v>
      </c>
      <c r="D353">
        <v>156</v>
      </c>
      <c r="E353">
        <v>41152.370000000003</v>
      </c>
      <c r="F353">
        <v>6419769.2999999998</v>
      </c>
      <c r="G353">
        <v>3917858.5</v>
      </c>
    </row>
    <row r="354" spans="1:7" x14ac:dyDescent="0.25">
      <c r="A354" s="2">
        <v>45809</v>
      </c>
      <c r="B354" t="s">
        <v>12</v>
      </c>
      <c r="C354" t="s">
        <v>8</v>
      </c>
      <c r="D354">
        <v>234</v>
      </c>
      <c r="E354">
        <v>14728.55</v>
      </c>
      <c r="F354">
        <v>3446480.29</v>
      </c>
      <c r="G354">
        <v>2004973.35</v>
      </c>
    </row>
    <row r="355" spans="1:7" x14ac:dyDescent="0.25">
      <c r="A355" s="2">
        <v>45809</v>
      </c>
      <c r="B355" t="s">
        <v>12</v>
      </c>
      <c r="C355" t="s">
        <v>9</v>
      </c>
      <c r="D355">
        <v>216</v>
      </c>
      <c r="E355">
        <v>13938.46</v>
      </c>
      <c r="F355">
        <v>3010707.3</v>
      </c>
      <c r="G355">
        <v>1718756.21</v>
      </c>
    </row>
    <row r="356" spans="1:7" x14ac:dyDescent="0.25">
      <c r="A356" s="2">
        <v>45809</v>
      </c>
      <c r="B356" t="s">
        <v>12</v>
      </c>
      <c r="C356" t="s">
        <v>10</v>
      </c>
      <c r="D356">
        <v>261</v>
      </c>
      <c r="E356">
        <v>14216.38</v>
      </c>
      <c r="F356">
        <v>3710475.93</v>
      </c>
      <c r="G356">
        <v>2099620.41</v>
      </c>
    </row>
    <row r="357" spans="1:7" x14ac:dyDescent="0.25">
      <c r="A357" s="2">
        <v>45809</v>
      </c>
      <c r="B357" t="s">
        <v>12</v>
      </c>
      <c r="C357" t="s">
        <v>11</v>
      </c>
      <c r="D357">
        <v>204</v>
      </c>
      <c r="E357">
        <v>14048.34</v>
      </c>
      <c r="F357">
        <v>2865862.28</v>
      </c>
      <c r="G357">
        <v>1654306.76</v>
      </c>
    </row>
    <row r="358" spans="1:7" x14ac:dyDescent="0.25">
      <c r="A358" s="2">
        <v>45809</v>
      </c>
      <c r="B358" t="s">
        <v>13</v>
      </c>
      <c r="C358" t="s">
        <v>8</v>
      </c>
      <c r="D358">
        <v>337</v>
      </c>
      <c r="E358">
        <v>6178.4</v>
      </c>
      <c r="F358">
        <v>2082120.17</v>
      </c>
      <c r="G358">
        <v>1335287.7</v>
      </c>
    </row>
    <row r="359" spans="1:7" x14ac:dyDescent="0.25">
      <c r="A359" s="2">
        <v>45809</v>
      </c>
      <c r="B359" t="s">
        <v>13</v>
      </c>
      <c r="C359" t="s">
        <v>9</v>
      </c>
      <c r="D359">
        <v>358</v>
      </c>
      <c r="E359">
        <v>6059.07</v>
      </c>
      <c r="F359">
        <v>2169148.64</v>
      </c>
      <c r="G359">
        <v>1389297.66</v>
      </c>
    </row>
    <row r="360" spans="1:7" x14ac:dyDescent="0.25">
      <c r="A360" s="2">
        <v>45809</v>
      </c>
      <c r="B360" t="s">
        <v>13</v>
      </c>
      <c r="C360" t="s">
        <v>10</v>
      </c>
      <c r="D360">
        <v>296</v>
      </c>
      <c r="E360">
        <v>6149.34</v>
      </c>
      <c r="F360">
        <v>1820206.02</v>
      </c>
      <c r="G360">
        <v>1154897.78</v>
      </c>
    </row>
    <row r="361" spans="1:7" x14ac:dyDescent="0.25">
      <c r="A361" s="2">
        <v>45809</v>
      </c>
      <c r="B361" t="s">
        <v>13</v>
      </c>
      <c r="C361" t="s">
        <v>11</v>
      </c>
      <c r="D361">
        <v>453</v>
      </c>
      <c r="E361">
        <v>6071.18</v>
      </c>
      <c r="F361">
        <v>2750244.48</v>
      </c>
      <c r="G361">
        <v>1732917.42</v>
      </c>
    </row>
    <row r="362" spans="1:7" x14ac:dyDescent="0.25">
      <c r="A362" s="2">
        <v>45839</v>
      </c>
      <c r="B362" t="s">
        <v>7</v>
      </c>
      <c r="C362" t="s">
        <v>8</v>
      </c>
      <c r="D362">
        <v>113</v>
      </c>
      <c r="E362">
        <v>41900.720000000001</v>
      </c>
      <c r="F362">
        <v>4734781.05</v>
      </c>
      <c r="G362">
        <v>2826562.61</v>
      </c>
    </row>
    <row r="363" spans="1:7" x14ac:dyDescent="0.25">
      <c r="A363" s="2">
        <v>45839</v>
      </c>
      <c r="B363" t="s">
        <v>7</v>
      </c>
      <c r="C363" t="s">
        <v>9</v>
      </c>
      <c r="D363">
        <v>103</v>
      </c>
      <c r="E363">
        <v>41488.269999999997</v>
      </c>
      <c r="F363">
        <v>4273291.57</v>
      </c>
      <c r="G363">
        <v>2593670.67</v>
      </c>
    </row>
    <row r="364" spans="1:7" x14ac:dyDescent="0.25">
      <c r="A364" s="2">
        <v>45839</v>
      </c>
      <c r="B364" t="s">
        <v>7</v>
      </c>
      <c r="C364" t="s">
        <v>10</v>
      </c>
      <c r="D364">
        <v>113</v>
      </c>
      <c r="E364">
        <v>41611.61</v>
      </c>
      <c r="F364">
        <v>4702111.58</v>
      </c>
      <c r="G364">
        <v>2801643.67</v>
      </c>
    </row>
    <row r="365" spans="1:7" x14ac:dyDescent="0.25">
      <c r="A365" s="2">
        <v>45839</v>
      </c>
      <c r="B365" t="s">
        <v>7</v>
      </c>
      <c r="C365" t="s">
        <v>11</v>
      </c>
      <c r="D365">
        <v>92</v>
      </c>
      <c r="E365">
        <v>42171.43</v>
      </c>
      <c r="F365">
        <v>3879771.64</v>
      </c>
      <c r="G365">
        <v>2392692.98</v>
      </c>
    </row>
    <row r="366" spans="1:7" x14ac:dyDescent="0.25">
      <c r="A366" s="2">
        <v>45839</v>
      </c>
      <c r="B366" t="s">
        <v>12</v>
      </c>
      <c r="C366" t="s">
        <v>8</v>
      </c>
      <c r="D366">
        <v>222</v>
      </c>
      <c r="E366">
        <v>14679.74</v>
      </c>
      <c r="F366">
        <v>3258902.52</v>
      </c>
      <c r="G366">
        <v>1947126.98</v>
      </c>
    </row>
    <row r="367" spans="1:7" x14ac:dyDescent="0.25">
      <c r="A367" s="2">
        <v>45839</v>
      </c>
      <c r="B367" t="s">
        <v>12</v>
      </c>
      <c r="C367" t="s">
        <v>9</v>
      </c>
      <c r="D367">
        <v>172</v>
      </c>
      <c r="E367">
        <v>14449.25</v>
      </c>
      <c r="F367">
        <v>2485270.66</v>
      </c>
      <c r="G367">
        <v>1540278.11</v>
      </c>
    </row>
    <row r="368" spans="1:7" x14ac:dyDescent="0.25">
      <c r="A368" s="2">
        <v>45839</v>
      </c>
      <c r="B368" t="s">
        <v>12</v>
      </c>
      <c r="C368" t="s">
        <v>10</v>
      </c>
      <c r="D368">
        <v>249</v>
      </c>
      <c r="E368">
        <v>14217.74</v>
      </c>
      <c r="F368">
        <v>3540218.17</v>
      </c>
      <c r="G368">
        <v>2022012.42</v>
      </c>
    </row>
    <row r="369" spans="1:7" x14ac:dyDescent="0.25">
      <c r="A369" s="2">
        <v>45839</v>
      </c>
      <c r="B369" t="s">
        <v>12</v>
      </c>
      <c r="C369" t="s">
        <v>11</v>
      </c>
      <c r="D369">
        <v>205</v>
      </c>
      <c r="E369">
        <v>14202.97</v>
      </c>
      <c r="F369">
        <v>2911608.1</v>
      </c>
      <c r="G369">
        <v>1583636.99</v>
      </c>
    </row>
    <row r="370" spans="1:7" x14ac:dyDescent="0.25">
      <c r="A370" s="2">
        <v>45839</v>
      </c>
      <c r="B370" t="s">
        <v>13</v>
      </c>
      <c r="C370" t="s">
        <v>8</v>
      </c>
      <c r="D370">
        <v>348</v>
      </c>
      <c r="E370">
        <v>6093.25</v>
      </c>
      <c r="F370">
        <v>2120450.2799999998</v>
      </c>
      <c r="G370">
        <v>1360094.64</v>
      </c>
    </row>
    <row r="371" spans="1:7" x14ac:dyDescent="0.25">
      <c r="A371" s="2">
        <v>45839</v>
      </c>
      <c r="B371" t="s">
        <v>13</v>
      </c>
      <c r="C371" t="s">
        <v>9</v>
      </c>
      <c r="D371">
        <v>353</v>
      </c>
      <c r="E371">
        <v>6520.42</v>
      </c>
      <c r="F371">
        <v>2301707.91</v>
      </c>
      <c r="G371">
        <v>1485939.01</v>
      </c>
    </row>
    <row r="372" spans="1:7" x14ac:dyDescent="0.25">
      <c r="A372" s="2">
        <v>45839</v>
      </c>
      <c r="B372" t="s">
        <v>13</v>
      </c>
      <c r="C372" t="s">
        <v>10</v>
      </c>
      <c r="D372">
        <v>218</v>
      </c>
      <c r="E372">
        <v>6285.12</v>
      </c>
      <c r="F372">
        <v>1370155.16</v>
      </c>
      <c r="G372">
        <v>908095.37</v>
      </c>
    </row>
    <row r="373" spans="1:7" x14ac:dyDescent="0.25">
      <c r="A373" s="2">
        <v>45839</v>
      </c>
      <c r="B373" t="s">
        <v>13</v>
      </c>
      <c r="C373" t="s">
        <v>11</v>
      </c>
      <c r="D373">
        <v>434</v>
      </c>
      <c r="E373">
        <v>5749.95</v>
      </c>
      <c r="F373">
        <v>2495477.37</v>
      </c>
      <c r="G373">
        <v>1573818.82</v>
      </c>
    </row>
    <row r="374" spans="1:7" x14ac:dyDescent="0.25">
      <c r="A374" s="2">
        <v>45870</v>
      </c>
      <c r="B374" t="s">
        <v>7</v>
      </c>
      <c r="C374" t="s">
        <v>8</v>
      </c>
      <c r="D374">
        <v>99</v>
      </c>
      <c r="E374">
        <v>41230.44</v>
      </c>
      <c r="F374">
        <v>4081813.28</v>
      </c>
      <c r="G374">
        <v>2671812.12</v>
      </c>
    </row>
    <row r="375" spans="1:7" x14ac:dyDescent="0.25">
      <c r="A375" s="2">
        <v>45870</v>
      </c>
      <c r="B375" t="s">
        <v>7</v>
      </c>
      <c r="C375" t="s">
        <v>9</v>
      </c>
      <c r="D375">
        <v>109</v>
      </c>
      <c r="E375">
        <v>43174.239999999998</v>
      </c>
      <c r="F375">
        <v>4705992.6900000004</v>
      </c>
      <c r="G375">
        <v>2887385.7</v>
      </c>
    </row>
    <row r="376" spans="1:7" x14ac:dyDescent="0.25">
      <c r="A376" s="2">
        <v>45870</v>
      </c>
      <c r="B376" t="s">
        <v>7</v>
      </c>
      <c r="C376" t="s">
        <v>10</v>
      </c>
      <c r="D376">
        <v>135</v>
      </c>
      <c r="E376">
        <v>44341.14</v>
      </c>
      <c r="F376">
        <v>5986054.2699999996</v>
      </c>
      <c r="G376">
        <v>3691207.36</v>
      </c>
    </row>
    <row r="377" spans="1:7" x14ac:dyDescent="0.25">
      <c r="A377" s="2">
        <v>45870</v>
      </c>
      <c r="B377" t="s">
        <v>7</v>
      </c>
      <c r="C377" t="s">
        <v>11</v>
      </c>
      <c r="D377">
        <v>128</v>
      </c>
      <c r="E377">
        <v>41316.53</v>
      </c>
      <c r="F377">
        <v>5288516.22</v>
      </c>
      <c r="G377">
        <v>3345328.87</v>
      </c>
    </row>
    <row r="378" spans="1:7" x14ac:dyDescent="0.25">
      <c r="A378" s="2">
        <v>45870</v>
      </c>
      <c r="B378" t="s">
        <v>12</v>
      </c>
      <c r="C378" t="s">
        <v>8</v>
      </c>
      <c r="D378">
        <v>222</v>
      </c>
      <c r="E378">
        <v>14892.1</v>
      </c>
      <c r="F378">
        <v>3306045.31</v>
      </c>
      <c r="G378">
        <v>1970926.85</v>
      </c>
    </row>
    <row r="379" spans="1:7" x14ac:dyDescent="0.25">
      <c r="A379" s="2">
        <v>45870</v>
      </c>
      <c r="B379" t="s">
        <v>12</v>
      </c>
      <c r="C379" t="s">
        <v>9</v>
      </c>
      <c r="D379">
        <v>190</v>
      </c>
      <c r="E379">
        <v>15075.48</v>
      </c>
      <c r="F379">
        <v>2864341.37</v>
      </c>
      <c r="G379">
        <v>1654131.69</v>
      </c>
    </row>
    <row r="380" spans="1:7" x14ac:dyDescent="0.25">
      <c r="A380" s="2">
        <v>45870</v>
      </c>
      <c r="B380" t="s">
        <v>12</v>
      </c>
      <c r="C380" t="s">
        <v>10</v>
      </c>
      <c r="D380">
        <v>224</v>
      </c>
      <c r="E380">
        <v>14454.78</v>
      </c>
      <c r="F380">
        <v>3237870.76</v>
      </c>
      <c r="G380">
        <v>1814980.63</v>
      </c>
    </row>
    <row r="381" spans="1:7" x14ac:dyDescent="0.25">
      <c r="A381" s="2">
        <v>45870</v>
      </c>
      <c r="B381" t="s">
        <v>12</v>
      </c>
      <c r="C381" t="s">
        <v>11</v>
      </c>
      <c r="D381">
        <v>179</v>
      </c>
      <c r="E381">
        <v>15452.43</v>
      </c>
      <c r="F381">
        <v>2765984.93</v>
      </c>
      <c r="G381">
        <v>1599872.8</v>
      </c>
    </row>
    <row r="382" spans="1:7" x14ac:dyDescent="0.25">
      <c r="A382" s="2">
        <v>45870</v>
      </c>
      <c r="B382" t="s">
        <v>13</v>
      </c>
      <c r="C382" t="s">
        <v>8</v>
      </c>
      <c r="D382">
        <v>328</v>
      </c>
      <c r="E382">
        <v>6352.14</v>
      </c>
      <c r="F382">
        <v>2083503.48</v>
      </c>
      <c r="G382">
        <v>1350744.15</v>
      </c>
    </row>
    <row r="383" spans="1:7" x14ac:dyDescent="0.25">
      <c r="A383" s="2">
        <v>45870</v>
      </c>
      <c r="B383" t="s">
        <v>13</v>
      </c>
      <c r="C383" t="s">
        <v>9</v>
      </c>
      <c r="D383">
        <v>379</v>
      </c>
      <c r="E383">
        <v>6285.53</v>
      </c>
      <c r="F383">
        <v>2382215.21</v>
      </c>
      <c r="G383">
        <v>1622357.86</v>
      </c>
    </row>
    <row r="384" spans="1:7" x14ac:dyDescent="0.25">
      <c r="A384" s="2">
        <v>45870</v>
      </c>
      <c r="B384" t="s">
        <v>13</v>
      </c>
      <c r="C384" t="s">
        <v>10</v>
      </c>
      <c r="D384">
        <v>344</v>
      </c>
      <c r="E384">
        <v>6292.3</v>
      </c>
      <c r="F384">
        <v>2164549.5</v>
      </c>
      <c r="G384">
        <v>1326059.48</v>
      </c>
    </row>
    <row r="385" spans="1:7" x14ac:dyDescent="0.25">
      <c r="A385" s="2">
        <v>45870</v>
      </c>
      <c r="B385" t="s">
        <v>13</v>
      </c>
      <c r="C385" t="s">
        <v>11</v>
      </c>
      <c r="D385">
        <v>191</v>
      </c>
      <c r="E385">
        <v>6224.67</v>
      </c>
      <c r="F385">
        <v>1188912.25</v>
      </c>
      <c r="G385">
        <v>721622.04</v>
      </c>
    </row>
    <row r="386" spans="1:7" x14ac:dyDescent="0.25">
      <c r="A386" s="2">
        <v>45901</v>
      </c>
      <c r="B386" t="s">
        <v>7</v>
      </c>
      <c r="C386" t="s">
        <v>8</v>
      </c>
      <c r="D386">
        <v>99</v>
      </c>
      <c r="E386">
        <v>42551.7</v>
      </c>
      <c r="F386">
        <v>4212618.45</v>
      </c>
      <c r="G386">
        <v>2583188.94</v>
      </c>
    </row>
    <row r="387" spans="1:7" x14ac:dyDescent="0.25">
      <c r="A387" s="2">
        <v>45901</v>
      </c>
      <c r="B387" t="s">
        <v>7</v>
      </c>
      <c r="C387" t="s">
        <v>9</v>
      </c>
      <c r="D387">
        <v>107</v>
      </c>
      <c r="E387">
        <v>42874.18</v>
      </c>
      <c r="F387">
        <v>4587536.83</v>
      </c>
      <c r="G387">
        <v>2967951.06</v>
      </c>
    </row>
    <row r="388" spans="1:7" x14ac:dyDescent="0.25">
      <c r="A388" s="2">
        <v>45901</v>
      </c>
      <c r="B388" t="s">
        <v>7</v>
      </c>
      <c r="C388" t="s">
        <v>10</v>
      </c>
      <c r="D388">
        <v>138</v>
      </c>
      <c r="E388">
        <v>41461.4</v>
      </c>
      <c r="F388">
        <v>5721672.9900000002</v>
      </c>
      <c r="G388">
        <v>3604502.05</v>
      </c>
    </row>
    <row r="389" spans="1:7" x14ac:dyDescent="0.25">
      <c r="A389" s="2">
        <v>45901</v>
      </c>
      <c r="B389" t="s">
        <v>7</v>
      </c>
      <c r="C389" t="s">
        <v>11</v>
      </c>
      <c r="D389">
        <v>136</v>
      </c>
      <c r="E389">
        <v>41658.35</v>
      </c>
      <c r="F389">
        <v>5665534.9699999997</v>
      </c>
      <c r="G389">
        <v>3578766.91</v>
      </c>
    </row>
    <row r="390" spans="1:7" x14ac:dyDescent="0.25">
      <c r="A390" s="2">
        <v>45901</v>
      </c>
      <c r="B390" t="s">
        <v>12</v>
      </c>
      <c r="C390" t="s">
        <v>8</v>
      </c>
      <c r="D390">
        <v>251</v>
      </c>
      <c r="E390">
        <v>14400.2</v>
      </c>
      <c r="F390">
        <v>3614450.65</v>
      </c>
      <c r="G390">
        <v>1990448.17</v>
      </c>
    </row>
    <row r="391" spans="1:7" x14ac:dyDescent="0.25">
      <c r="A391" s="2">
        <v>45901</v>
      </c>
      <c r="B391" t="s">
        <v>12</v>
      </c>
      <c r="C391" t="s">
        <v>9</v>
      </c>
      <c r="D391">
        <v>114</v>
      </c>
      <c r="E391">
        <v>14404.99</v>
      </c>
      <c r="F391">
        <v>1642168.3</v>
      </c>
      <c r="G391">
        <v>936717.6</v>
      </c>
    </row>
    <row r="392" spans="1:7" x14ac:dyDescent="0.25">
      <c r="A392" s="2">
        <v>45901</v>
      </c>
      <c r="B392" t="s">
        <v>12</v>
      </c>
      <c r="C392" t="s">
        <v>10</v>
      </c>
      <c r="D392">
        <v>220</v>
      </c>
      <c r="E392">
        <v>14620.01</v>
      </c>
      <c r="F392">
        <v>3216401.92</v>
      </c>
      <c r="G392">
        <v>1946112.23</v>
      </c>
    </row>
    <row r="393" spans="1:7" x14ac:dyDescent="0.25">
      <c r="A393" s="2">
        <v>45901</v>
      </c>
      <c r="B393" t="s">
        <v>12</v>
      </c>
      <c r="C393" t="s">
        <v>11</v>
      </c>
      <c r="D393">
        <v>205</v>
      </c>
      <c r="E393">
        <v>14277.55</v>
      </c>
      <c r="F393">
        <v>2926897.18</v>
      </c>
      <c r="G393">
        <v>1710768.44</v>
      </c>
    </row>
    <row r="394" spans="1:7" x14ac:dyDescent="0.25">
      <c r="A394" s="2">
        <v>45901</v>
      </c>
      <c r="B394" t="s">
        <v>13</v>
      </c>
      <c r="C394" t="s">
        <v>8</v>
      </c>
      <c r="D394">
        <v>487</v>
      </c>
      <c r="E394">
        <v>6328.26</v>
      </c>
      <c r="F394">
        <v>3081863.78</v>
      </c>
      <c r="G394">
        <v>1848840.86</v>
      </c>
    </row>
    <row r="395" spans="1:7" x14ac:dyDescent="0.25">
      <c r="A395" s="2">
        <v>45901</v>
      </c>
      <c r="B395" t="s">
        <v>13</v>
      </c>
      <c r="C395" t="s">
        <v>9</v>
      </c>
      <c r="D395">
        <v>351</v>
      </c>
      <c r="E395">
        <v>6239.54</v>
      </c>
      <c r="F395">
        <v>2190080.04</v>
      </c>
      <c r="G395">
        <v>1411355.93</v>
      </c>
    </row>
    <row r="396" spans="1:7" x14ac:dyDescent="0.25">
      <c r="A396" s="2">
        <v>45901</v>
      </c>
      <c r="B396" t="s">
        <v>13</v>
      </c>
      <c r="C396" t="s">
        <v>10</v>
      </c>
      <c r="D396">
        <v>415</v>
      </c>
      <c r="E396">
        <v>6038.01</v>
      </c>
      <c r="F396">
        <v>2505772.7599999998</v>
      </c>
      <c r="G396">
        <v>1538888.6</v>
      </c>
    </row>
    <row r="397" spans="1:7" x14ac:dyDescent="0.25">
      <c r="A397" s="2">
        <v>45901</v>
      </c>
      <c r="B397" t="s">
        <v>13</v>
      </c>
      <c r="C397" t="s">
        <v>11</v>
      </c>
      <c r="D397">
        <v>365</v>
      </c>
      <c r="E397">
        <v>6253.77</v>
      </c>
      <c r="F397">
        <v>2282624.71</v>
      </c>
      <c r="G397">
        <v>1454159.28</v>
      </c>
    </row>
    <row r="398" spans="1:7" x14ac:dyDescent="0.25">
      <c r="A398" s="2">
        <v>45931</v>
      </c>
      <c r="B398" t="s">
        <v>7</v>
      </c>
      <c r="C398" t="s">
        <v>8</v>
      </c>
      <c r="D398">
        <v>92</v>
      </c>
      <c r="E398">
        <v>41725.589999999997</v>
      </c>
      <c r="F398">
        <v>3838754.34</v>
      </c>
      <c r="G398">
        <v>2375561.2000000002</v>
      </c>
    </row>
    <row r="399" spans="1:7" x14ac:dyDescent="0.25">
      <c r="A399" s="2">
        <v>45931</v>
      </c>
      <c r="B399" t="s">
        <v>7</v>
      </c>
      <c r="C399" t="s">
        <v>9</v>
      </c>
      <c r="D399">
        <v>65</v>
      </c>
      <c r="E399">
        <v>41767.25</v>
      </c>
      <c r="F399">
        <v>2714870.94</v>
      </c>
      <c r="G399">
        <v>1669970.1</v>
      </c>
    </row>
    <row r="400" spans="1:7" x14ac:dyDescent="0.25">
      <c r="A400" s="2">
        <v>45931</v>
      </c>
      <c r="B400" t="s">
        <v>7</v>
      </c>
      <c r="C400" t="s">
        <v>10</v>
      </c>
      <c r="D400">
        <v>88</v>
      </c>
      <c r="E400">
        <v>43088.65</v>
      </c>
      <c r="F400">
        <v>3791800.78</v>
      </c>
      <c r="G400">
        <v>2401587.15</v>
      </c>
    </row>
    <row r="401" spans="1:7" x14ac:dyDescent="0.25">
      <c r="A401" s="2">
        <v>45931</v>
      </c>
      <c r="B401" t="s">
        <v>7</v>
      </c>
      <c r="C401" t="s">
        <v>11</v>
      </c>
      <c r="D401">
        <v>86</v>
      </c>
      <c r="E401">
        <v>42012.29</v>
      </c>
      <c r="F401">
        <v>3613056.73</v>
      </c>
      <c r="G401">
        <v>2216100.88</v>
      </c>
    </row>
    <row r="402" spans="1:7" x14ac:dyDescent="0.25">
      <c r="A402" s="2">
        <v>45931</v>
      </c>
      <c r="B402" t="s">
        <v>12</v>
      </c>
      <c r="C402" t="s">
        <v>8</v>
      </c>
      <c r="D402">
        <v>166</v>
      </c>
      <c r="E402">
        <v>14892.05</v>
      </c>
      <c r="F402">
        <v>2472080.6800000002</v>
      </c>
      <c r="G402">
        <v>1446225.05</v>
      </c>
    </row>
    <row r="403" spans="1:7" x14ac:dyDescent="0.25">
      <c r="A403" s="2">
        <v>45931</v>
      </c>
      <c r="B403" t="s">
        <v>12</v>
      </c>
      <c r="C403" t="s">
        <v>9</v>
      </c>
      <c r="D403">
        <v>256</v>
      </c>
      <c r="E403">
        <v>14306.34</v>
      </c>
      <c r="F403">
        <v>3662422.71</v>
      </c>
      <c r="G403">
        <v>2210403.59</v>
      </c>
    </row>
    <row r="404" spans="1:7" x14ac:dyDescent="0.25">
      <c r="A404" s="2">
        <v>45931</v>
      </c>
      <c r="B404" t="s">
        <v>12</v>
      </c>
      <c r="C404" t="s">
        <v>10</v>
      </c>
      <c r="D404">
        <v>223</v>
      </c>
      <c r="E404">
        <v>14425.41</v>
      </c>
      <c r="F404">
        <v>3216865.68</v>
      </c>
      <c r="G404">
        <v>1942967.6</v>
      </c>
    </row>
    <row r="405" spans="1:7" x14ac:dyDescent="0.25">
      <c r="A405" s="2">
        <v>45931</v>
      </c>
      <c r="B405" t="s">
        <v>12</v>
      </c>
      <c r="C405" t="s">
        <v>11</v>
      </c>
      <c r="D405">
        <v>214</v>
      </c>
      <c r="E405">
        <v>14273.48</v>
      </c>
      <c r="F405">
        <v>3054523.75</v>
      </c>
      <c r="G405">
        <v>1793641.71</v>
      </c>
    </row>
    <row r="406" spans="1:7" x14ac:dyDescent="0.25">
      <c r="A406" s="2">
        <v>45931</v>
      </c>
      <c r="B406" t="s">
        <v>13</v>
      </c>
      <c r="C406" t="s">
        <v>8</v>
      </c>
      <c r="D406">
        <v>329</v>
      </c>
      <c r="E406">
        <v>6174.49</v>
      </c>
      <c r="F406">
        <v>2031406.07</v>
      </c>
      <c r="G406">
        <v>1291787.74</v>
      </c>
    </row>
    <row r="407" spans="1:7" x14ac:dyDescent="0.25">
      <c r="A407" s="2">
        <v>45931</v>
      </c>
      <c r="B407" t="s">
        <v>13</v>
      </c>
      <c r="C407" t="s">
        <v>9</v>
      </c>
      <c r="D407">
        <v>336</v>
      </c>
      <c r="E407">
        <v>6216.83</v>
      </c>
      <c r="F407">
        <v>2088854.04</v>
      </c>
      <c r="G407">
        <v>1374882.3</v>
      </c>
    </row>
    <row r="408" spans="1:7" x14ac:dyDescent="0.25">
      <c r="A408" s="2">
        <v>45931</v>
      </c>
      <c r="B408" t="s">
        <v>13</v>
      </c>
      <c r="C408" t="s">
        <v>10</v>
      </c>
      <c r="D408">
        <v>254</v>
      </c>
      <c r="E408">
        <v>6325.65</v>
      </c>
      <c r="F408">
        <v>1606714.25</v>
      </c>
      <c r="G408">
        <v>982779.11</v>
      </c>
    </row>
    <row r="409" spans="1:7" x14ac:dyDescent="0.25">
      <c r="A409" s="2">
        <v>45931</v>
      </c>
      <c r="B409" t="s">
        <v>13</v>
      </c>
      <c r="C409" t="s">
        <v>11</v>
      </c>
      <c r="D409">
        <v>267</v>
      </c>
      <c r="E409">
        <v>6496.19</v>
      </c>
      <c r="F409">
        <v>1734482.41</v>
      </c>
      <c r="G409">
        <v>1164461.96</v>
      </c>
    </row>
    <row r="410" spans="1:7" x14ac:dyDescent="0.25">
      <c r="A410" s="2">
        <v>45962</v>
      </c>
      <c r="B410" t="s">
        <v>7</v>
      </c>
      <c r="C410" t="s">
        <v>8</v>
      </c>
      <c r="D410">
        <v>97</v>
      </c>
      <c r="E410">
        <v>42648.71</v>
      </c>
      <c r="F410">
        <v>4136924.63</v>
      </c>
      <c r="G410">
        <v>2481035.81</v>
      </c>
    </row>
    <row r="411" spans="1:7" x14ac:dyDescent="0.25">
      <c r="A411" s="2">
        <v>45962</v>
      </c>
      <c r="B411" t="s">
        <v>7</v>
      </c>
      <c r="C411" t="s">
        <v>9</v>
      </c>
      <c r="D411">
        <v>122</v>
      </c>
      <c r="E411">
        <v>42397.9</v>
      </c>
      <c r="F411">
        <v>5172543.54</v>
      </c>
      <c r="G411">
        <v>3181013.43</v>
      </c>
    </row>
    <row r="412" spans="1:7" x14ac:dyDescent="0.25">
      <c r="A412" s="2">
        <v>45962</v>
      </c>
      <c r="B412" t="s">
        <v>7</v>
      </c>
      <c r="C412" t="s">
        <v>10</v>
      </c>
      <c r="D412">
        <v>96</v>
      </c>
      <c r="E412">
        <v>42381.14</v>
      </c>
      <c r="F412">
        <v>4068589.64</v>
      </c>
      <c r="G412">
        <v>2390171.12</v>
      </c>
    </row>
    <row r="413" spans="1:7" x14ac:dyDescent="0.25">
      <c r="A413" s="2">
        <v>45962</v>
      </c>
      <c r="B413" t="s">
        <v>7</v>
      </c>
      <c r="C413" t="s">
        <v>11</v>
      </c>
      <c r="D413">
        <v>123</v>
      </c>
      <c r="E413">
        <v>42740.23</v>
      </c>
      <c r="F413">
        <v>5257047.96</v>
      </c>
      <c r="G413">
        <v>3232620.09</v>
      </c>
    </row>
    <row r="414" spans="1:7" x14ac:dyDescent="0.25">
      <c r="A414" s="2">
        <v>45962</v>
      </c>
      <c r="B414" t="s">
        <v>12</v>
      </c>
      <c r="C414" t="s">
        <v>8</v>
      </c>
      <c r="D414">
        <v>259</v>
      </c>
      <c r="E414">
        <v>14116.78</v>
      </c>
      <c r="F414">
        <v>3656246.17</v>
      </c>
      <c r="G414">
        <v>2195191.08</v>
      </c>
    </row>
    <row r="415" spans="1:7" x14ac:dyDescent="0.25">
      <c r="A415" s="2">
        <v>45962</v>
      </c>
      <c r="B415" t="s">
        <v>12</v>
      </c>
      <c r="C415" t="s">
        <v>9</v>
      </c>
      <c r="D415">
        <v>199</v>
      </c>
      <c r="E415">
        <v>14911.07</v>
      </c>
      <c r="F415">
        <v>2967302.34</v>
      </c>
      <c r="G415">
        <v>1728779.55</v>
      </c>
    </row>
    <row r="416" spans="1:7" x14ac:dyDescent="0.25">
      <c r="A416" s="2">
        <v>45962</v>
      </c>
      <c r="B416" t="s">
        <v>12</v>
      </c>
      <c r="C416" t="s">
        <v>10</v>
      </c>
      <c r="D416">
        <v>154</v>
      </c>
      <c r="E416">
        <v>14446.32</v>
      </c>
      <c r="F416">
        <v>2224732.5699999998</v>
      </c>
      <c r="G416">
        <v>1257439.3600000001</v>
      </c>
    </row>
    <row r="417" spans="1:7" x14ac:dyDescent="0.25">
      <c r="A417" s="2">
        <v>45962</v>
      </c>
      <c r="B417" t="s">
        <v>12</v>
      </c>
      <c r="C417" t="s">
        <v>11</v>
      </c>
      <c r="D417">
        <v>252</v>
      </c>
      <c r="E417">
        <v>15148.15</v>
      </c>
      <c r="F417">
        <v>3817333.84</v>
      </c>
      <c r="G417">
        <v>2201723.46</v>
      </c>
    </row>
    <row r="418" spans="1:7" x14ac:dyDescent="0.25">
      <c r="A418" s="2">
        <v>45962</v>
      </c>
      <c r="B418" t="s">
        <v>13</v>
      </c>
      <c r="C418" t="s">
        <v>8</v>
      </c>
      <c r="D418">
        <v>439</v>
      </c>
      <c r="E418">
        <v>6130.7</v>
      </c>
      <c r="F418">
        <v>2691376.48</v>
      </c>
      <c r="G418">
        <v>1742469.7</v>
      </c>
    </row>
    <row r="419" spans="1:7" x14ac:dyDescent="0.25">
      <c r="A419" s="2">
        <v>45962</v>
      </c>
      <c r="B419" t="s">
        <v>13</v>
      </c>
      <c r="C419" t="s">
        <v>9</v>
      </c>
      <c r="D419">
        <v>454</v>
      </c>
      <c r="E419">
        <v>6393.65</v>
      </c>
      <c r="F419">
        <v>2902715.34</v>
      </c>
      <c r="G419">
        <v>1783540.32</v>
      </c>
    </row>
    <row r="420" spans="1:7" x14ac:dyDescent="0.25">
      <c r="A420" s="2">
        <v>45962</v>
      </c>
      <c r="B420" t="s">
        <v>13</v>
      </c>
      <c r="C420" t="s">
        <v>10</v>
      </c>
      <c r="D420">
        <v>413</v>
      </c>
      <c r="E420">
        <v>6343.86</v>
      </c>
      <c r="F420">
        <v>2620013.59</v>
      </c>
      <c r="G420">
        <v>1591264.09</v>
      </c>
    </row>
    <row r="421" spans="1:7" x14ac:dyDescent="0.25">
      <c r="A421" s="2">
        <v>45962</v>
      </c>
      <c r="B421" t="s">
        <v>13</v>
      </c>
      <c r="C421" t="s">
        <v>11</v>
      </c>
      <c r="D421">
        <v>436</v>
      </c>
      <c r="E421">
        <v>6252.96</v>
      </c>
      <c r="F421">
        <v>2726289.42</v>
      </c>
      <c r="G421">
        <v>1869479.77</v>
      </c>
    </row>
    <row r="422" spans="1:7" x14ac:dyDescent="0.25">
      <c r="A422" s="2">
        <v>45992</v>
      </c>
      <c r="B422" t="s">
        <v>7</v>
      </c>
      <c r="C422" t="s">
        <v>8</v>
      </c>
      <c r="D422">
        <v>112</v>
      </c>
      <c r="E422">
        <v>41923.599999999999</v>
      </c>
      <c r="F422">
        <v>4695442.92</v>
      </c>
      <c r="G422">
        <v>2916081.14</v>
      </c>
    </row>
    <row r="423" spans="1:7" x14ac:dyDescent="0.25">
      <c r="A423" s="2">
        <v>45992</v>
      </c>
      <c r="B423" t="s">
        <v>7</v>
      </c>
      <c r="C423" t="s">
        <v>9</v>
      </c>
      <c r="D423">
        <v>84</v>
      </c>
      <c r="E423">
        <v>41834.550000000003</v>
      </c>
      <c r="F423">
        <v>3514102.12</v>
      </c>
      <c r="G423">
        <v>2186193.0299999998</v>
      </c>
    </row>
    <row r="424" spans="1:7" x14ac:dyDescent="0.25">
      <c r="A424" s="2">
        <v>45992</v>
      </c>
      <c r="B424" t="s">
        <v>7</v>
      </c>
      <c r="C424" t="s">
        <v>10</v>
      </c>
      <c r="D424">
        <v>123</v>
      </c>
      <c r="E424">
        <v>39948.370000000003</v>
      </c>
      <c r="F424">
        <v>4913650.1100000003</v>
      </c>
      <c r="G424">
        <v>2862164.07</v>
      </c>
    </row>
    <row r="425" spans="1:7" x14ac:dyDescent="0.25">
      <c r="A425" s="2">
        <v>45992</v>
      </c>
      <c r="B425" t="s">
        <v>7</v>
      </c>
      <c r="C425" t="s">
        <v>11</v>
      </c>
      <c r="D425">
        <v>108</v>
      </c>
      <c r="E425">
        <v>41868.269999999997</v>
      </c>
      <c r="F425">
        <v>4521773.25</v>
      </c>
      <c r="G425">
        <v>2821808.44</v>
      </c>
    </row>
    <row r="426" spans="1:7" x14ac:dyDescent="0.25">
      <c r="A426" s="2">
        <v>45992</v>
      </c>
      <c r="B426" t="s">
        <v>12</v>
      </c>
      <c r="C426" t="s">
        <v>8</v>
      </c>
      <c r="D426">
        <v>182</v>
      </c>
      <c r="E426">
        <v>14476.23</v>
      </c>
      <c r="F426">
        <v>2634673.35</v>
      </c>
      <c r="G426">
        <v>1554026.92</v>
      </c>
    </row>
    <row r="427" spans="1:7" x14ac:dyDescent="0.25">
      <c r="A427" s="2">
        <v>45992</v>
      </c>
      <c r="B427" t="s">
        <v>12</v>
      </c>
      <c r="C427" t="s">
        <v>9</v>
      </c>
      <c r="D427">
        <v>212</v>
      </c>
      <c r="E427">
        <v>14663.01</v>
      </c>
      <c r="F427">
        <v>3108558.66</v>
      </c>
      <c r="G427">
        <v>1785461.27</v>
      </c>
    </row>
    <row r="428" spans="1:7" x14ac:dyDescent="0.25">
      <c r="A428" s="2">
        <v>45992</v>
      </c>
      <c r="B428" t="s">
        <v>12</v>
      </c>
      <c r="C428" t="s">
        <v>10</v>
      </c>
      <c r="D428">
        <v>150</v>
      </c>
      <c r="E428">
        <v>14623.48</v>
      </c>
      <c r="F428">
        <v>2193522.2999999998</v>
      </c>
      <c r="G428">
        <v>1211452.97</v>
      </c>
    </row>
    <row r="429" spans="1:7" x14ac:dyDescent="0.25">
      <c r="A429" s="2">
        <v>45992</v>
      </c>
      <c r="B429" t="s">
        <v>12</v>
      </c>
      <c r="C429" t="s">
        <v>11</v>
      </c>
      <c r="D429">
        <v>149</v>
      </c>
      <c r="E429">
        <v>14322.77</v>
      </c>
      <c r="F429">
        <v>2134092.85</v>
      </c>
      <c r="G429">
        <v>1243801.68</v>
      </c>
    </row>
    <row r="430" spans="1:7" x14ac:dyDescent="0.25">
      <c r="A430" s="2">
        <v>45992</v>
      </c>
      <c r="B430" t="s">
        <v>13</v>
      </c>
      <c r="C430" t="s">
        <v>8</v>
      </c>
      <c r="D430">
        <v>336</v>
      </c>
      <c r="E430">
        <v>6008.73</v>
      </c>
      <c r="F430">
        <v>2018933.67</v>
      </c>
      <c r="G430">
        <v>1368388.73</v>
      </c>
    </row>
    <row r="431" spans="1:7" x14ac:dyDescent="0.25">
      <c r="A431" s="2">
        <v>45992</v>
      </c>
      <c r="B431" t="s">
        <v>13</v>
      </c>
      <c r="C431" t="s">
        <v>9</v>
      </c>
      <c r="D431">
        <v>260</v>
      </c>
      <c r="E431">
        <v>6152</v>
      </c>
      <c r="F431">
        <v>1599519.15</v>
      </c>
      <c r="G431">
        <v>1049781.07</v>
      </c>
    </row>
    <row r="432" spans="1:7" x14ac:dyDescent="0.25">
      <c r="A432" s="2">
        <v>45992</v>
      </c>
      <c r="B432" t="s">
        <v>13</v>
      </c>
      <c r="C432" t="s">
        <v>10</v>
      </c>
      <c r="D432">
        <v>353</v>
      </c>
      <c r="E432">
        <v>6172.26</v>
      </c>
      <c r="F432">
        <v>2178809.1</v>
      </c>
      <c r="G432">
        <v>1433738.5</v>
      </c>
    </row>
    <row r="433" spans="1:7" x14ac:dyDescent="0.25">
      <c r="A433" s="2">
        <v>45992</v>
      </c>
      <c r="B433" t="s">
        <v>13</v>
      </c>
      <c r="C433" t="s">
        <v>11</v>
      </c>
      <c r="D433">
        <v>341</v>
      </c>
      <c r="E433">
        <v>6022.65</v>
      </c>
      <c r="F433">
        <v>2053725</v>
      </c>
      <c r="G433">
        <v>1387832.34</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7"/>
  <sheetViews>
    <sheetView topLeftCell="D1" workbookViewId="0">
      <pane ySplit="1" topLeftCell="A2" activePane="bottomLeft" state="frozen"/>
      <selection pane="bottomLeft" activeCell="C43" sqref="C43"/>
    </sheetView>
  </sheetViews>
  <sheetFormatPr defaultRowHeight="15" x14ac:dyDescent="0.25"/>
  <cols>
    <col min="1" max="17" width="20" customWidth="1"/>
  </cols>
  <sheetData>
    <row r="1" spans="1:17" x14ac:dyDescent="0.25">
      <c r="A1" s="3" t="s">
        <v>0</v>
      </c>
      <c r="B1" s="3" t="s">
        <v>5</v>
      </c>
      <c r="C1" s="3" t="s">
        <v>6</v>
      </c>
      <c r="D1" s="3" t="s">
        <v>14</v>
      </c>
      <c r="E1" s="3" t="s">
        <v>15</v>
      </c>
      <c r="F1" s="3" t="s">
        <v>16</v>
      </c>
      <c r="G1" s="3" t="s">
        <v>17</v>
      </c>
      <c r="H1" s="3" t="s">
        <v>18</v>
      </c>
      <c r="I1" s="3" t="s">
        <v>19</v>
      </c>
      <c r="J1" s="3" t="s">
        <v>20</v>
      </c>
      <c r="K1" s="3" t="s">
        <v>21</v>
      </c>
      <c r="L1" s="3" t="s">
        <v>22</v>
      </c>
      <c r="M1" s="3" t="s">
        <v>23</v>
      </c>
      <c r="N1" s="3" t="s">
        <v>24</v>
      </c>
      <c r="O1" s="3" t="s">
        <v>25</v>
      </c>
      <c r="P1" s="3" t="s">
        <v>26</v>
      </c>
      <c r="Q1" s="3" t="s">
        <v>27</v>
      </c>
    </row>
    <row r="2" spans="1:17" x14ac:dyDescent="0.25">
      <c r="A2" s="2">
        <v>44927</v>
      </c>
      <c r="B2">
        <v>36017107.079999998</v>
      </c>
      <c r="C2">
        <v>21849346.18</v>
      </c>
      <c r="D2">
        <v>14167760.9</v>
      </c>
      <c r="E2">
        <v>3790462.6986847338</v>
      </c>
      <c r="F2">
        <v>1851599.057931009</v>
      </c>
      <c r="G2">
        <v>2199953.165626626</v>
      </c>
      <c r="H2">
        <v>862721.57589945372</v>
      </c>
      <c r="I2">
        <v>5463024.4018581752</v>
      </c>
      <c r="J2">
        <v>389999.84393959492</v>
      </c>
      <c r="K2">
        <v>5073024.5579185802</v>
      </c>
      <c r="L2">
        <v>1268256.1394796451</v>
      </c>
      <c r="M2">
        <v>3804768.4184389352</v>
      </c>
      <c r="N2">
        <v>37.122931337159173</v>
      </c>
      <c r="O2">
        <v>55.14202000976757</v>
      </c>
      <c r="P2">
        <v>41.235856234058417</v>
      </c>
      <c r="Q2">
        <v>1325235.3105566611</v>
      </c>
    </row>
    <row r="3" spans="1:17" x14ac:dyDescent="0.25">
      <c r="A3" s="2">
        <v>44958</v>
      </c>
      <c r="B3">
        <v>39308948.93</v>
      </c>
      <c r="C3">
        <v>24133071.899999999</v>
      </c>
      <c r="D3">
        <v>15175877.029999999</v>
      </c>
      <c r="E3">
        <v>3796547.1674252008</v>
      </c>
      <c r="F3">
        <v>2031740.6999138549</v>
      </c>
      <c r="G3">
        <v>2406443.4211148452</v>
      </c>
      <c r="H3">
        <v>850161.01395220822</v>
      </c>
      <c r="I3">
        <v>6090984.7275938876</v>
      </c>
      <c r="J3">
        <v>363009.52399113658</v>
      </c>
      <c r="K3">
        <v>5727975.2036027508</v>
      </c>
      <c r="L3">
        <v>1431993.8009006879</v>
      </c>
      <c r="M3">
        <v>4295981.4027020633</v>
      </c>
      <c r="N3">
        <v>44.086324177079383</v>
      </c>
      <c r="O3">
        <v>50.931830422202893</v>
      </c>
      <c r="P3">
        <v>34.132766439376738</v>
      </c>
      <c r="Q3">
        <v>1976201.4861645789</v>
      </c>
    </row>
    <row r="4" spans="1:17" x14ac:dyDescent="0.25">
      <c r="A4" s="2">
        <v>44986</v>
      </c>
      <c r="B4">
        <v>37898175.609999999</v>
      </c>
      <c r="C4">
        <v>23741886.440000001</v>
      </c>
      <c r="D4">
        <v>14156289.17</v>
      </c>
      <c r="E4">
        <v>4495938.3461207487</v>
      </c>
      <c r="F4">
        <v>1559362.8086674791</v>
      </c>
      <c r="G4">
        <v>2596785.7106154212</v>
      </c>
      <c r="H4">
        <v>878403.37352019676</v>
      </c>
      <c r="I4">
        <v>4625798.9310761569</v>
      </c>
      <c r="J4">
        <v>348051.71819637768</v>
      </c>
      <c r="K4">
        <v>4277747.2128797788</v>
      </c>
      <c r="L4">
        <v>1069436.8032199449</v>
      </c>
      <c r="M4">
        <v>3208310.4096598341</v>
      </c>
      <c r="N4">
        <v>43.558320873338893</v>
      </c>
      <c r="O4">
        <v>53.085312629837972</v>
      </c>
      <c r="P4">
        <v>37.432824884481043</v>
      </c>
      <c r="Q4">
        <v>1667885.4021361109</v>
      </c>
    </row>
    <row r="5" spans="1:17" x14ac:dyDescent="0.25">
      <c r="A5" s="2">
        <v>45017</v>
      </c>
      <c r="B5">
        <v>39037424.740000002</v>
      </c>
      <c r="C5">
        <v>24134758.670000002</v>
      </c>
      <c r="D5">
        <v>14902666.07</v>
      </c>
      <c r="E5">
        <v>3853519.6297762799</v>
      </c>
      <c r="F5">
        <v>2016895.361898622</v>
      </c>
      <c r="G5">
        <v>2563329.015289309</v>
      </c>
      <c r="H5">
        <v>875998.17420737073</v>
      </c>
      <c r="I5">
        <v>5592923.8888284182</v>
      </c>
      <c r="J5">
        <v>336640.63769966317</v>
      </c>
      <c r="K5">
        <v>5256283.2511287564</v>
      </c>
      <c r="L5">
        <v>1314070.8127821891</v>
      </c>
      <c r="M5">
        <v>3942212.4383465671</v>
      </c>
      <c r="N5">
        <v>43.986232424205149</v>
      </c>
      <c r="O5">
        <v>52.1601366591645</v>
      </c>
      <c r="P5">
        <v>38.034877776695822</v>
      </c>
      <c r="Q5">
        <v>1369838.8087839179</v>
      </c>
    </row>
    <row r="6" spans="1:17" x14ac:dyDescent="0.25">
      <c r="A6" s="2">
        <v>45047</v>
      </c>
      <c r="B6">
        <v>34982232.100000001</v>
      </c>
      <c r="C6">
        <v>21281051.73</v>
      </c>
      <c r="D6">
        <v>13701180.369999999</v>
      </c>
      <c r="E6">
        <v>3503756.145685527</v>
      </c>
      <c r="F6">
        <v>2263391.1442829082</v>
      </c>
      <c r="G6">
        <v>2126519.429645563</v>
      </c>
      <c r="H6">
        <v>830910.09488609503</v>
      </c>
      <c r="I6">
        <v>4976603.5554999076</v>
      </c>
      <c r="J6">
        <v>386209.46864009131</v>
      </c>
      <c r="K6">
        <v>4590394.0868598167</v>
      </c>
      <c r="L6">
        <v>1147598.5217149539</v>
      </c>
      <c r="M6">
        <v>3442795.565144863</v>
      </c>
      <c r="N6">
        <v>42.651402567189159</v>
      </c>
      <c r="O6">
        <v>51.218329867981353</v>
      </c>
      <c r="P6">
        <v>37.969331709324713</v>
      </c>
      <c r="Q6">
        <v>1519111.7746380561</v>
      </c>
    </row>
    <row r="7" spans="1:17" x14ac:dyDescent="0.25">
      <c r="A7" s="2">
        <v>45078</v>
      </c>
      <c r="B7">
        <v>35426371.979999997</v>
      </c>
      <c r="C7">
        <v>21667057.140000001</v>
      </c>
      <c r="D7">
        <v>13759314.84</v>
      </c>
      <c r="E7">
        <v>3432337.459874331</v>
      </c>
      <c r="F7">
        <v>1794645.587194714</v>
      </c>
      <c r="G7">
        <v>2147033.7744324938</v>
      </c>
      <c r="H7">
        <v>819826.97800625465</v>
      </c>
      <c r="I7">
        <v>5565471.0404922012</v>
      </c>
      <c r="J7">
        <v>404363.26903575251</v>
      </c>
      <c r="K7">
        <v>5161107.7714564484</v>
      </c>
      <c r="L7">
        <v>1290276.9428641121</v>
      </c>
      <c r="M7">
        <v>3870830.8285923358</v>
      </c>
      <c r="N7">
        <v>40.856488116925917</v>
      </c>
      <c r="O7">
        <v>52.52281240955368</v>
      </c>
      <c r="P7">
        <v>39.170500596546049</v>
      </c>
      <c r="Q7">
        <v>1532190.6671950819</v>
      </c>
    </row>
    <row r="8" spans="1:17" x14ac:dyDescent="0.25">
      <c r="A8" s="2">
        <v>45108</v>
      </c>
      <c r="B8">
        <v>39574188.810000002</v>
      </c>
      <c r="C8">
        <v>24524271.34</v>
      </c>
      <c r="D8">
        <v>15049917.470000001</v>
      </c>
      <c r="E8">
        <v>4617734.8737667724</v>
      </c>
      <c r="F8">
        <v>2222424.8144708471</v>
      </c>
      <c r="G8">
        <v>2781437.9361433089</v>
      </c>
      <c r="H8">
        <v>848416.4265379936</v>
      </c>
      <c r="I8">
        <v>4579903.4190810798</v>
      </c>
      <c r="J8">
        <v>316597.91101784521</v>
      </c>
      <c r="K8">
        <v>4263305.5080632344</v>
      </c>
      <c r="L8">
        <v>1065826.3770158091</v>
      </c>
      <c r="M8">
        <v>3197479.1310474258</v>
      </c>
      <c r="N8">
        <v>43.461056934979041</v>
      </c>
      <c r="O8">
        <v>52.327706822899863</v>
      </c>
      <c r="P8">
        <v>37.02807620157575</v>
      </c>
      <c r="Q8">
        <v>1509969.619422673</v>
      </c>
    </row>
    <row r="9" spans="1:17" x14ac:dyDescent="0.25">
      <c r="A9" s="2">
        <v>45139</v>
      </c>
      <c r="B9">
        <v>29701890.48</v>
      </c>
      <c r="C9">
        <v>18298479.079999998</v>
      </c>
      <c r="D9">
        <v>11403411.4</v>
      </c>
      <c r="E9">
        <v>2768314.0647760238</v>
      </c>
      <c r="F9">
        <v>1533804.5263010459</v>
      </c>
      <c r="G9">
        <v>1950627.278251433</v>
      </c>
      <c r="H9">
        <v>917623.56068736955</v>
      </c>
      <c r="I9">
        <v>4233041.9699841244</v>
      </c>
      <c r="J9">
        <v>363700.69344389113</v>
      </c>
      <c r="K9">
        <v>3869341.2765402328</v>
      </c>
      <c r="L9">
        <v>967335.31913505832</v>
      </c>
      <c r="M9">
        <v>2902005.9574051751</v>
      </c>
      <c r="N9">
        <v>40.26282826288697</v>
      </c>
      <c r="O9">
        <v>56.587382458539622</v>
      </c>
      <c r="P9">
        <v>33.760641773980602</v>
      </c>
      <c r="Q9">
        <v>1366307.7220267081</v>
      </c>
    </row>
    <row r="10" spans="1:17" x14ac:dyDescent="0.25">
      <c r="A10" s="2">
        <v>45170</v>
      </c>
      <c r="B10">
        <v>35187971.390000001</v>
      </c>
      <c r="C10">
        <v>21428769.469999999</v>
      </c>
      <c r="D10">
        <v>13759201.92</v>
      </c>
      <c r="E10">
        <v>3862412.9624927379</v>
      </c>
      <c r="F10">
        <v>1898271.1345626069</v>
      </c>
      <c r="G10">
        <v>2306944.544401627</v>
      </c>
      <c r="H10">
        <v>855206.83917073312</v>
      </c>
      <c r="I10">
        <v>4836366.4393722964</v>
      </c>
      <c r="J10">
        <v>414148.15860832587</v>
      </c>
      <c r="K10">
        <v>4422218.2807639698</v>
      </c>
      <c r="L10">
        <v>1105554.570190992</v>
      </c>
      <c r="M10">
        <v>3316663.710572978</v>
      </c>
      <c r="N10">
        <v>41.492509255905439</v>
      </c>
      <c r="O10">
        <v>54.28660210223466</v>
      </c>
      <c r="P10">
        <v>36.176101180877211</v>
      </c>
      <c r="Q10">
        <v>1825771.413165557</v>
      </c>
    </row>
    <row r="11" spans="1:17" x14ac:dyDescent="0.25">
      <c r="A11" s="2">
        <v>45200</v>
      </c>
      <c r="B11">
        <v>34571533.93</v>
      </c>
      <c r="C11">
        <v>21302326.469999999</v>
      </c>
      <c r="D11">
        <v>13269207.460000001</v>
      </c>
      <c r="E11">
        <v>4124181.9601595318</v>
      </c>
      <c r="F11">
        <v>2004113.864812593</v>
      </c>
      <c r="G11">
        <v>2197124.1181599121</v>
      </c>
      <c r="H11">
        <v>865319.1620502735</v>
      </c>
      <c r="I11">
        <v>4078468.3548176899</v>
      </c>
      <c r="J11">
        <v>391949.41448619083</v>
      </c>
      <c r="K11">
        <v>3686518.9403315</v>
      </c>
      <c r="L11">
        <v>921629.73508287489</v>
      </c>
      <c r="M11">
        <v>2764889.205248625</v>
      </c>
      <c r="N11">
        <v>40.658756250363943</v>
      </c>
      <c r="O11">
        <v>57.379104386055737</v>
      </c>
      <c r="P11">
        <v>36.241622239023648</v>
      </c>
      <c r="Q11">
        <v>1366563.3040796991</v>
      </c>
    </row>
    <row r="12" spans="1:17" x14ac:dyDescent="0.25">
      <c r="A12" s="2">
        <v>45231</v>
      </c>
      <c r="B12">
        <v>39947958.829999998</v>
      </c>
      <c r="C12">
        <v>24452856.960000001</v>
      </c>
      <c r="D12">
        <v>15495101.869999999</v>
      </c>
      <c r="E12">
        <v>4239806.9970459389</v>
      </c>
      <c r="F12">
        <v>2312231.5214301348</v>
      </c>
      <c r="G12">
        <v>2690123.1045537191</v>
      </c>
      <c r="H12">
        <v>817607.60067428858</v>
      </c>
      <c r="I12">
        <v>5435332.6462959172</v>
      </c>
      <c r="J12">
        <v>356369.82461258338</v>
      </c>
      <c r="K12">
        <v>5078962.8216833342</v>
      </c>
      <c r="L12">
        <v>1269740.705420834</v>
      </c>
      <c r="M12">
        <v>3809222.1162625011</v>
      </c>
      <c r="N12">
        <v>40.601207173948893</v>
      </c>
      <c r="O12">
        <v>54.609715091235493</v>
      </c>
      <c r="P12">
        <v>39.284062395828379</v>
      </c>
      <c r="Q12">
        <v>1751805.8645442771</v>
      </c>
    </row>
    <row r="13" spans="1:17" x14ac:dyDescent="0.25">
      <c r="A13" s="2">
        <v>45261</v>
      </c>
      <c r="B13">
        <v>34163975.649999999</v>
      </c>
      <c r="C13">
        <v>20942917.030000001</v>
      </c>
      <c r="D13">
        <v>13221058.619999999</v>
      </c>
      <c r="E13">
        <v>3444676.631128869</v>
      </c>
      <c r="F13">
        <v>1648707.0326378699</v>
      </c>
      <c r="G13">
        <v>2238303.2513886779</v>
      </c>
      <c r="H13">
        <v>920028.50662215473</v>
      </c>
      <c r="I13">
        <v>4969343.1982224248</v>
      </c>
      <c r="J13">
        <v>415483.798941563</v>
      </c>
      <c r="K13">
        <v>4553859.399280862</v>
      </c>
      <c r="L13">
        <v>1138464.849820215</v>
      </c>
      <c r="M13">
        <v>3415394.5494606472</v>
      </c>
      <c r="N13">
        <v>40.417410059534532</v>
      </c>
      <c r="O13">
        <v>54.040185503221863</v>
      </c>
      <c r="P13">
        <v>38.340217105112167</v>
      </c>
      <c r="Q13">
        <v>1360981.7585087351</v>
      </c>
    </row>
    <row r="14" spans="1:17" x14ac:dyDescent="0.25">
      <c r="A14" s="2">
        <v>45292</v>
      </c>
      <c r="B14">
        <v>40207336.909999996</v>
      </c>
      <c r="C14">
        <v>24866858.469999999</v>
      </c>
      <c r="D14">
        <v>15340478.440000011</v>
      </c>
      <c r="E14">
        <v>4214483.9168596044</v>
      </c>
      <c r="F14">
        <v>2280307.8060611379</v>
      </c>
      <c r="G14">
        <v>2667193.5407992038</v>
      </c>
      <c r="H14">
        <v>853146.09020538628</v>
      </c>
      <c r="I14">
        <v>5325347.0860746726</v>
      </c>
      <c r="J14">
        <v>405411.53938243602</v>
      </c>
      <c r="K14">
        <v>4919935.5466922363</v>
      </c>
      <c r="L14">
        <v>1229983.8866730591</v>
      </c>
      <c r="M14">
        <v>3689951.660019177</v>
      </c>
      <c r="N14">
        <v>41.290783610481803</v>
      </c>
      <c r="O14">
        <v>53.612738130410683</v>
      </c>
      <c r="P14">
        <v>37.614162292806483</v>
      </c>
      <c r="Q14">
        <v>2130467.465360214</v>
      </c>
    </row>
    <row r="15" spans="1:17" x14ac:dyDescent="0.25">
      <c r="A15" s="2">
        <v>45323</v>
      </c>
      <c r="B15">
        <v>37665236.899999999</v>
      </c>
      <c r="C15">
        <v>23203578.440000001</v>
      </c>
      <c r="D15">
        <v>14461658.460000001</v>
      </c>
      <c r="E15">
        <v>4127944.9847075711</v>
      </c>
      <c r="F15">
        <v>2279485.502021004</v>
      </c>
      <c r="G15">
        <v>2273388.0927816401</v>
      </c>
      <c r="H15">
        <v>814189.44474220311</v>
      </c>
      <c r="I15">
        <v>4966650.4357475787</v>
      </c>
      <c r="J15">
        <v>392009.50591598451</v>
      </c>
      <c r="K15">
        <v>4574640.9298315942</v>
      </c>
      <c r="L15">
        <v>1143660.232457899</v>
      </c>
      <c r="M15">
        <v>3430980.6973736961</v>
      </c>
      <c r="N15">
        <v>43.272838378197108</v>
      </c>
      <c r="O15">
        <v>46.309589500019683</v>
      </c>
      <c r="P15">
        <v>38.941525662710831</v>
      </c>
      <c r="Q15">
        <v>1881062.2532506881</v>
      </c>
    </row>
    <row r="16" spans="1:17" x14ac:dyDescent="0.25">
      <c r="A16" s="2">
        <v>45352</v>
      </c>
      <c r="B16">
        <v>40096657.649999999</v>
      </c>
      <c r="C16">
        <v>24622934.600000001</v>
      </c>
      <c r="D16">
        <v>15473723.050000001</v>
      </c>
      <c r="E16">
        <v>3890059.684016299</v>
      </c>
      <c r="F16">
        <v>2390171.8170584962</v>
      </c>
      <c r="G16">
        <v>2938992.5329005588</v>
      </c>
      <c r="H16">
        <v>910243.82722688874</v>
      </c>
      <c r="I16">
        <v>5344255.1887977552</v>
      </c>
      <c r="J16">
        <v>411323.74519377289</v>
      </c>
      <c r="K16">
        <v>4932931.4436039822</v>
      </c>
      <c r="L16">
        <v>1233232.860900996</v>
      </c>
      <c r="M16">
        <v>3699698.5827029869</v>
      </c>
      <c r="N16">
        <v>42.579948231085297</v>
      </c>
      <c r="O16">
        <v>53.12343571535375</v>
      </c>
      <c r="P16">
        <v>39.064880316908273</v>
      </c>
      <c r="Q16">
        <v>1902318.0971836839</v>
      </c>
    </row>
    <row r="17" spans="1:17" x14ac:dyDescent="0.25">
      <c r="A17" s="2">
        <v>45383</v>
      </c>
      <c r="B17">
        <v>42457304.039999999</v>
      </c>
      <c r="C17">
        <v>25455808.34</v>
      </c>
      <c r="D17">
        <v>17001495.699999999</v>
      </c>
      <c r="E17">
        <v>4577159.8526825821</v>
      </c>
      <c r="F17">
        <v>2329229.036854432</v>
      </c>
      <c r="G17">
        <v>2472352.4013576079</v>
      </c>
      <c r="H17">
        <v>857667.94411125802</v>
      </c>
      <c r="I17">
        <v>6765086.4649941176</v>
      </c>
      <c r="J17">
        <v>378535.88932352111</v>
      </c>
      <c r="K17">
        <v>6386550.5756705962</v>
      </c>
      <c r="L17">
        <v>1596637.6439176491</v>
      </c>
      <c r="M17">
        <v>4789912.9317529472</v>
      </c>
      <c r="N17">
        <v>41.664130391626259</v>
      </c>
      <c r="O17">
        <v>41.452234244186322</v>
      </c>
      <c r="P17">
        <v>37.666525369159579</v>
      </c>
      <c r="Q17">
        <v>2001853.2491025489</v>
      </c>
    </row>
    <row r="18" spans="1:17" x14ac:dyDescent="0.25">
      <c r="A18" s="2">
        <v>45413</v>
      </c>
      <c r="B18">
        <v>43539965.789999999</v>
      </c>
      <c r="C18">
        <v>26527331.649999999</v>
      </c>
      <c r="D18">
        <v>17012634.140000001</v>
      </c>
      <c r="E18">
        <v>4301313.2630633675</v>
      </c>
      <c r="F18">
        <v>2583400.40792938</v>
      </c>
      <c r="G18">
        <v>2623542.1900002328</v>
      </c>
      <c r="H18">
        <v>827989.58274639817</v>
      </c>
      <c r="I18">
        <v>6676388.6962606218</v>
      </c>
      <c r="J18">
        <v>424241.02900242963</v>
      </c>
      <c r="K18">
        <v>6252147.6672581919</v>
      </c>
      <c r="L18">
        <v>1563036.916814548</v>
      </c>
      <c r="M18">
        <v>4689110.7504436439</v>
      </c>
      <c r="N18">
        <v>41.763405559307863</v>
      </c>
      <c r="O18">
        <v>51.622275578922313</v>
      </c>
      <c r="P18">
        <v>37.676230156807712</v>
      </c>
      <c r="Q18">
        <v>2004460.4590614189</v>
      </c>
    </row>
    <row r="19" spans="1:17" x14ac:dyDescent="0.25">
      <c r="A19" s="2">
        <v>45444</v>
      </c>
      <c r="B19">
        <v>39189906.549999997</v>
      </c>
      <c r="C19">
        <v>23921946.579999998</v>
      </c>
      <c r="D19">
        <v>15267959.970000001</v>
      </c>
      <c r="E19">
        <v>4093626.4791349899</v>
      </c>
      <c r="F19">
        <v>2200258.1586582288</v>
      </c>
      <c r="G19">
        <v>2388756.5766267921</v>
      </c>
      <c r="H19">
        <v>725014.28786927438</v>
      </c>
      <c r="I19">
        <v>5860304.4677107129</v>
      </c>
      <c r="J19">
        <v>387817.71443190018</v>
      </c>
      <c r="K19">
        <v>5472486.7532788124</v>
      </c>
      <c r="L19">
        <v>1368121.6883197031</v>
      </c>
      <c r="M19">
        <v>4104365.0649591088</v>
      </c>
      <c r="N19">
        <v>37.901721769567239</v>
      </c>
      <c r="O19">
        <v>52.842035625360943</v>
      </c>
      <c r="P19">
        <v>40.052322029521989</v>
      </c>
      <c r="Q19">
        <v>1806243.364802788</v>
      </c>
    </row>
    <row r="20" spans="1:17" x14ac:dyDescent="0.25">
      <c r="A20" s="2">
        <v>45474</v>
      </c>
      <c r="B20">
        <v>38055898.460000001</v>
      </c>
      <c r="C20">
        <v>23437305.030000001</v>
      </c>
      <c r="D20">
        <v>14618593.43</v>
      </c>
      <c r="E20">
        <v>3842714.8975753849</v>
      </c>
      <c r="F20">
        <v>1960018.1192292741</v>
      </c>
      <c r="G20">
        <v>2673950.4529553819</v>
      </c>
      <c r="H20">
        <v>937861.71311417513</v>
      </c>
      <c r="I20">
        <v>5204048.247125783</v>
      </c>
      <c r="J20">
        <v>402457.97575211251</v>
      </c>
      <c r="K20">
        <v>4801590.2713736705</v>
      </c>
      <c r="L20">
        <v>1200397.5678434181</v>
      </c>
      <c r="M20">
        <v>3601192.7035302529</v>
      </c>
      <c r="N20">
        <v>45.290545232462691</v>
      </c>
      <c r="O20">
        <v>50.309504775939033</v>
      </c>
      <c r="P20">
        <v>38.264510808855349</v>
      </c>
      <c r="Q20">
        <v>1631987.1919389591</v>
      </c>
    </row>
    <row r="21" spans="1:17" x14ac:dyDescent="0.25">
      <c r="A21" s="2">
        <v>45505</v>
      </c>
      <c r="B21">
        <v>37901433.399999999</v>
      </c>
      <c r="C21">
        <v>23242897.379999999</v>
      </c>
      <c r="D21">
        <v>14658536.02</v>
      </c>
      <c r="E21">
        <v>4208681.1330969026</v>
      </c>
      <c r="F21">
        <v>2296554.4308180488</v>
      </c>
      <c r="G21">
        <v>2594775.8587106108</v>
      </c>
      <c r="H21">
        <v>828530.87660591165</v>
      </c>
      <c r="I21">
        <v>4729993.7207685243</v>
      </c>
      <c r="J21">
        <v>399669.57657010021</v>
      </c>
      <c r="K21">
        <v>4330324.1441984242</v>
      </c>
      <c r="L21">
        <v>1082581.036049606</v>
      </c>
      <c r="M21">
        <v>3247743.1081488179</v>
      </c>
      <c r="N21">
        <v>44.045888888584152</v>
      </c>
      <c r="O21">
        <v>55.435672118637427</v>
      </c>
      <c r="P21">
        <v>38.361725631778263</v>
      </c>
      <c r="Q21">
        <v>1843267.533466392</v>
      </c>
    </row>
    <row r="22" spans="1:17" x14ac:dyDescent="0.25">
      <c r="A22" s="2">
        <v>45536</v>
      </c>
      <c r="B22">
        <v>33725982.740000002</v>
      </c>
      <c r="C22">
        <v>20755652.23</v>
      </c>
      <c r="D22">
        <v>12970330.51</v>
      </c>
      <c r="E22">
        <v>4026193.1817851588</v>
      </c>
      <c r="F22">
        <v>2002679.240844287</v>
      </c>
      <c r="G22">
        <v>2241550.9499727162</v>
      </c>
      <c r="H22">
        <v>761789.0490178687</v>
      </c>
      <c r="I22">
        <v>3938118.0883799721</v>
      </c>
      <c r="J22">
        <v>433436.59168090369</v>
      </c>
      <c r="K22">
        <v>3504681.4966990682</v>
      </c>
      <c r="L22">
        <v>876170.37417476694</v>
      </c>
      <c r="M22">
        <v>2628511.1225243011</v>
      </c>
      <c r="N22">
        <v>42.7146062995132</v>
      </c>
      <c r="O22">
        <v>52.24318111403003</v>
      </c>
      <c r="P22">
        <v>40.944598565870457</v>
      </c>
      <c r="Q22">
        <v>1507086.2927249831</v>
      </c>
    </row>
    <row r="23" spans="1:17" x14ac:dyDescent="0.25">
      <c r="A23" s="2">
        <v>45566</v>
      </c>
      <c r="B23">
        <v>38367106.859999999</v>
      </c>
      <c r="C23">
        <v>23228240.710000001</v>
      </c>
      <c r="D23">
        <v>15138866.15</v>
      </c>
      <c r="E23">
        <v>3619337.9585085469</v>
      </c>
      <c r="F23">
        <v>2312342.3954129028</v>
      </c>
      <c r="G23">
        <v>2235625.8690525061</v>
      </c>
      <c r="H23">
        <v>860818.06190854008</v>
      </c>
      <c r="I23">
        <v>6110741.8651175005</v>
      </c>
      <c r="J23">
        <v>364509.77478037978</v>
      </c>
      <c r="K23">
        <v>5746232.0903371219</v>
      </c>
      <c r="L23">
        <v>1436558.02258428</v>
      </c>
      <c r="M23">
        <v>4309674.0677528419</v>
      </c>
      <c r="N23">
        <v>40.055503112862198</v>
      </c>
      <c r="O23">
        <v>49.266503702188828</v>
      </c>
      <c r="P23">
        <v>39.0278981713113</v>
      </c>
      <c r="Q23">
        <v>1903856.8914993941</v>
      </c>
    </row>
    <row r="24" spans="1:17" x14ac:dyDescent="0.25">
      <c r="A24" s="2">
        <v>45597</v>
      </c>
      <c r="B24">
        <v>35120710.619999997</v>
      </c>
      <c r="C24">
        <v>21218937.73</v>
      </c>
      <c r="D24">
        <v>13901772.890000001</v>
      </c>
      <c r="E24">
        <v>3677004.9348303732</v>
      </c>
      <c r="F24">
        <v>1982237.252163369</v>
      </c>
      <c r="G24">
        <v>2279756.2313487739</v>
      </c>
      <c r="H24">
        <v>858263.54050150688</v>
      </c>
      <c r="I24">
        <v>5104510.931155974</v>
      </c>
      <c r="J24">
        <v>352413.42148171453</v>
      </c>
      <c r="K24">
        <v>4752097.5096742595</v>
      </c>
      <c r="L24">
        <v>1188024.3774185651</v>
      </c>
      <c r="M24">
        <v>3564073.1322556948</v>
      </c>
      <c r="N24">
        <v>39.465624696369723</v>
      </c>
      <c r="O24">
        <v>55.598910119480898</v>
      </c>
      <c r="P24">
        <v>38.355751028685617</v>
      </c>
      <c r="Q24">
        <v>1285080.9326520581</v>
      </c>
    </row>
    <row r="25" spans="1:17" x14ac:dyDescent="0.25">
      <c r="A25" s="2">
        <v>45627</v>
      </c>
      <c r="B25">
        <v>35673488.609999999</v>
      </c>
      <c r="C25">
        <v>21721587.859999999</v>
      </c>
      <c r="D25">
        <v>13951900.75</v>
      </c>
      <c r="E25">
        <v>3973729.1669483241</v>
      </c>
      <c r="F25">
        <v>1911260.2017150661</v>
      </c>
      <c r="G25">
        <v>1957520.7781937949</v>
      </c>
      <c r="H25">
        <v>836448.04208686261</v>
      </c>
      <c r="I25">
        <v>5272942.5610559518</v>
      </c>
      <c r="J25">
        <v>341370.17481792782</v>
      </c>
      <c r="K25">
        <v>4931572.3862380236</v>
      </c>
      <c r="L25">
        <v>1232893.0965595059</v>
      </c>
      <c r="M25">
        <v>3698679.2896785182</v>
      </c>
      <c r="N25">
        <v>43.940595971946117</v>
      </c>
      <c r="O25">
        <v>47.618451575153827</v>
      </c>
      <c r="P25">
        <v>38.86231166579956</v>
      </c>
      <c r="Q25">
        <v>1916083.485275473</v>
      </c>
    </row>
    <row r="26" spans="1:17" x14ac:dyDescent="0.25">
      <c r="A26" s="2">
        <v>45658</v>
      </c>
      <c r="B26">
        <v>40448773.280000001</v>
      </c>
      <c r="C26">
        <v>24855493.559999999</v>
      </c>
      <c r="D26">
        <v>15593279.720000001</v>
      </c>
      <c r="E26">
        <v>4091676.6371897869</v>
      </c>
      <c r="F26">
        <v>2179146.2216840461</v>
      </c>
      <c r="G26">
        <v>2380743.2271881099</v>
      </c>
      <c r="H26">
        <v>828799.30249525199</v>
      </c>
      <c r="I26">
        <v>6112914.3314428069</v>
      </c>
      <c r="J26">
        <v>385643.83142453071</v>
      </c>
      <c r="K26">
        <v>5727270.5000182763</v>
      </c>
      <c r="L26">
        <v>1431817.6250045691</v>
      </c>
      <c r="M26">
        <v>4295452.8750137072</v>
      </c>
      <c r="N26">
        <v>44.957255489308871</v>
      </c>
      <c r="O26">
        <v>51.61937337885373</v>
      </c>
      <c r="P26">
        <v>36.551197285255249</v>
      </c>
      <c r="Q26">
        <v>1810513.752349572</v>
      </c>
    </row>
    <row r="27" spans="1:17" x14ac:dyDescent="0.25">
      <c r="A27" s="2">
        <v>45689</v>
      </c>
      <c r="B27">
        <v>41421762.07</v>
      </c>
      <c r="C27">
        <v>25502982.07</v>
      </c>
      <c r="D27">
        <v>15918780</v>
      </c>
      <c r="E27">
        <v>4383240.4885848351</v>
      </c>
      <c r="F27">
        <v>2533460.873926274</v>
      </c>
      <c r="G27">
        <v>2839904.0783619932</v>
      </c>
      <c r="H27">
        <v>826875.16818075476</v>
      </c>
      <c r="I27">
        <v>5335299.3909461424</v>
      </c>
      <c r="J27">
        <v>362558.23162503581</v>
      </c>
      <c r="K27">
        <v>4972741.159321107</v>
      </c>
      <c r="L27">
        <v>1243185.289830277</v>
      </c>
      <c r="M27">
        <v>3729555.8694908302</v>
      </c>
      <c r="N27">
        <v>38.425600495571253</v>
      </c>
      <c r="O27">
        <v>48.804906069924243</v>
      </c>
      <c r="P27">
        <v>39.001911963921287</v>
      </c>
      <c r="Q27">
        <v>2441748.2176601798</v>
      </c>
    </row>
    <row r="28" spans="1:17" x14ac:dyDescent="0.25">
      <c r="A28" s="2">
        <v>45717</v>
      </c>
      <c r="B28">
        <v>41174351.420000002</v>
      </c>
      <c r="C28">
        <v>25128448.079999998</v>
      </c>
      <c r="D28">
        <v>16045903.34</v>
      </c>
      <c r="E28">
        <v>4835193.8709796071</v>
      </c>
      <c r="F28">
        <v>2078916.472941797</v>
      </c>
      <c r="G28">
        <v>2449259.4863338368</v>
      </c>
      <c r="H28">
        <v>917521.71293679927</v>
      </c>
      <c r="I28">
        <v>5765011.7968079634</v>
      </c>
      <c r="J28">
        <v>379093.09506303217</v>
      </c>
      <c r="K28">
        <v>5385918.7017449308</v>
      </c>
      <c r="L28">
        <v>1346479.6754362329</v>
      </c>
      <c r="M28">
        <v>4039439.0263086981</v>
      </c>
      <c r="N28">
        <v>46.445724100310208</v>
      </c>
      <c r="O28">
        <v>53.085108834677463</v>
      </c>
      <c r="P28">
        <v>32.506113194684303</v>
      </c>
      <c r="Q28">
        <v>1658041.746823722</v>
      </c>
    </row>
    <row r="29" spans="1:17" x14ac:dyDescent="0.25">
      <c r="A29" s="2">
        <v>45748</v>
      </c>
      <c r="B29">
        <v>45646594.850000001</v>
      </c>
      <c r="C29">
        <v>27834732.800000001</v>
      </c>
      <c r="D29">
        <v>17811862.050000001</v>
      </c>
      <c r="E29">
        <v>4304300.839897139</v>
      </c>
      <c r="F29">
        <v>2864771.4621522268</v>
      </c>
      <c r="G29">
        <v>2809011.3789961371</v>
      </c>
      <c r="H29">
        <v>888780.14450476004</v>
      </c>
      <c r="I29">
        <v>6944998.224449737</v>
      </c>
      <c r="J29">
        <v>428164.58899451699</v>
      </c>
      <c r="K29">
        <v>6516833.63545522</v>
      </c>
      <c r="L29">
        <v>1629208.408863805</v>
      </c>
      <c r="M29">
        <v>4887625.2265914148</v>
      </c>
      <c r="N29">
        <v>45.107537233758457</v>
      </c>
      <c r="O29">
        <v>51.575123680827318</v>
      </c>
      <c r="P29">
        <v>39.986641711216834</v>
      </c>
      <c r="Q29">
        <v>2130019.8453420941</v>
      </c>
    </row>
    <row r="30" spans="1:17" x14ac:dyDescent="0.25">
      <c r="A30" s="2">
        <v>45778</v>
      </c>
      <c r="B30">
        <v>38407950.369999997</v>
      </c>
      <c r="C30">
        <v>23592678.859999999</v>
      </c>
      <c r="D30">
        <v>14815271.51</v>
      </c>
      <c r="E30">
        <v>4140681.289464769</v>
      </c>
      <c r="F30">
        <v>1865104.9950496</v>
      </c>
      <c r="G30">
        <v>2468480.7021316169</v>
      </c>
      <c r="H30">
        <v>793659.02262764215</v>
      </c>
      <c r="I30">
        <v>5547345.5007263683</v>
      </c>
      <c r="J30">
        <v>367537.34651764412</v>
      </c>
      <c r="K30">
        <v>5179808.1542087244</v>
      </c>
      <c r="L30">
        <v>1294952.0385521811</v>
      </c>
      <c r="M30">
        <v>3884856.115656544</v>
      </c>
      <c r="N30">
        <v>47.47836509975739</v>
      </c>
      <c r="O30">
        <v>51.916935055242028</v>
      </c>
      <c r="P30">
        <v>39.97470498561465</v>
      </c>
      <c r="Q30">
        <v>1914586.407453604</v>
      </c>
    </row>
    <row r="31" spans="1:17" x14ac:dyDescent="0.25">
      <c r="A31" s="2">
        <v>45809</v>
      </c>
      <c r="B31">
        <v>43326188.859999999</v>
      </c>
      <c r="C31">
        <v>26243728.010000002</v>
      </c>
      <c r="D31">
        <v>17082460.850000001</v>
      </c>
      <c r="E31">
        <v>4934432.2021864085</v>
      </c>
      <c r="F31">
        <v>2322104.3878030428</v>
      </c>
      <c r="G31">
        <v>2808858.299811624</v>
      </c>
      <c r="H31">
        <v>773801.50002296828</v>
      </c>
      <c r="I31">
        <v>6243264.4601759557</v>
      </c>
      <c r="J31">
        <v>377256.61217358691</v>
      </c>
      <c r="K31">
        <v>5866007.8480023686</v>
      </c>
      <c r="L31">
        <v>1466501.9620005919</v>
      </c>
      <c r="M31">
        <v>4399505.8860017769</v>
      </c>
      <c r="N31">
        <v>40.58535281979168</v>
      </c>
      <c r="O31">
        <v>56.503161267223597</v>
      </c>
      <c r="P31">
        <v>39.682250540301652</v>
      </c>
      <c r="Q31">
        <v>1859573.809174085</v>
      </c>
    </row>
    <row r="32" spans="1:17" x14ac:dyDescent="0.25">
      <c r="A32" s="2">
        <v>45839</v>
      </c>
      <c r="B32">
        <v>38073746.009999998</v>
      </c>
      <c r="C32">
        <v>23035572.27</v>
      </c>
      <c r="D32">
        <v>15038173.74</v>
      </c>
      <c r="E32">
        <v>4087830.3545826548</v>
      </c>
      <c r="F32">
        <v>2092142.2359777801</v>
      </c>
      <c r="G32">
        <v>2031466.876227434</v>
      </c>
      <c r="H32">
        <v>885339.44324537111</v>
      </c>
      <c r="I32">
        <v>5941394.8299667584</v>
      </c>
      <c r="J32">
        <v>346492.44117986149</v>
      </c>
      <c r="K32">
        <v>5594902.3887868971</v>
      </c>
      <c r="L32">
        <v>1398725.597196724</v>
      </c>
      <c r="M32">
        <v>4196176.7915901728</v>
      </c>
      <c r="N32">
        <v>39.12945293527838</v>
      </c>
      <c r="O32">
        <v>53.937594118305633</v>
      </c>
      <c r="P32">
        <v>37.62789863077986</v>
      </c>
      <c r="Q32">
        <v>1122480.6434690759</v>
      </c>
    </row>
    <row r="33" spans="1:17" x14ac:dyDescent="0.25">
      <c r="A33" s="2">
        <v>45870</v>
      </c>
      <c r="B33">
        <v>40055799.270000003</v>
      </c>
      <c r="C33">
        <v>24656429.550000001</v>
      </c>
      <c r="D33">
        <v>15399369.720000001</v>
      </c>
      <c r="E33">
        <v>4225930.2504595444</v>
      </c>
      <c r="F33">
        <v>2072200.51617081</v>
      </c>
      <c r="G33">
        <v>2833247.1783637512</v>
      </c>
      <c r="H33">
        <v>840648.80346682877</v>
      </c>
      <c r="I33">
        <v>5427342.9715390624</v>
      </c>
      <c r="J33">
        <v>383384.23267581372</v>
      </c>
      <c r="K33">
        <v>5043958.7388632474</v>
      </c>
      <c r="L33">
        <v>1260989.6847158121</v>
      </c>
      <c r="M33">
        <v>3782969.0541474349</v>
      </c>
      <c r="N33">
        <v>40.122257397538519</v>
      </c>
      <c r="O33">
        <v>53.405466612267013</v>
      </c>
      <c r="P33">
        <v>38.208605656429732</v>
      </c>
      <c r="Q33">
        <v>1463307.0427827081</v>
      </c>
    </row>
    <row r="34" spans="1:17" x14ac:dyDescent="0.25">
      <c r="A34" s="2">
        <v>45901</v>
      </c>
      <c r="B34">
        <v>41647622.579999998</v>
      </c>
      <c r="C34">
        <v>25571700.07</v>
      </c>
      <c r="D34">
        <v>16075922.51</v>
      </c>
      <c r="E34">
        <v>4723771.8141488489</v>
      </c>
      <c r="F34">
        <v>2084162.561360633</v>
      </c>
      <c r="G34">
        <v>3046847.9270060752</v>
      </c>
      <c r="H34">
        <v>785218.68843721354</v>
      </c>
      <c r="I34">
        <v>5435921.5190472277</v>
      </c>
      <c r="J34">
        <v>357553.1607956193</v>
      </c>
      <c r="K34">
        <v>5078368.358251608</v>
      </c>
      <c r="L34">
        <v>1269592.089562902</v>
      </c>
      <c r="M34">
        <v>3808776.2686887062</v>
      </c>
      <c r="N34">
        <v>43.244078486843023</v>
      </c>
      <c r="O34">
        <v>54.270314637010721</v>
      </c>
      <c r="P34">
        <v>38.594663262324879</v>
      </c>
      <c r="Q34">
        <v>1684093.497035081</v>
      </c>
    </row>
    <row r="35" spans="1:17" x14ac:dyDescent="0.25">
      <c r="A35" s="2">
        <v>45931</v>
      </c>
      <c r="B35">
        <v>33825832.380000003</v>
      </c>
      <c r="C35">
        <v>20870368.390000001</v>
      </c>
      <c r="D35">
        <v>12955463.99</v>
      </c>
      <c r="E35">
        <v>3607718.0659828498</v>
      </c>
      <c r="F35">
        <v>2161723.2069699522</v>
      </c>
      <c r="G35">
        <v>2110072.7996551781</v>
      </c>
      <c r="H35">
        <v>820599.53370173345</v>
      </c>
      <c r="I35">
        <v>4255350.3836902874</v>
      </c>
      <c r="J35">
        <v>380814.29663623968</v>
      </c>
      <c r="K35">
        <v>3874536.0870540482</v>
      </c>
      <c r="L35">
        <v>968634.02176351193</v>
      </c>
      <c r="M35">
        <v>2905902.0652905358</v>
      </c>
      <c r="N35">
        <v>37.630283003787802</v>
      </c>
      <c r="O35">
        <v>48.542651542217143</v>
      </c>
      <c r="P35">
        <v>35.646445158139578</v>
      </c>
      <c r="Q35">
        <v>1724540.755026672</v>
      </c>
    </row>
    <row r="36" spans="1:17" x14ac:dyDescent="0.25">
      <c r="A36" s="2">
        <v>45962</v>
      </c>
      <c r="B36">
        <v>42241115.520000003</v>
      </c>
      <c r="C36">
        <v>25654727.780000001</v>
      </c>
      <c r="D36">
        <v>16586387.739999991</v>
      </c>
      <c r="E36">
        <v>4657591.7698998731</v>
      </c>
      <c r="F36">
        <v>1838241.231307772</v>
      </c>
      <c r="G36">
        <v>2674107.302633692</v>
      </c>
      <c r="H36">
        <v>820083.69126652821</v>
      </c>
      <c r="I36">
        <v>6596363.7448921287</v>
      </c>
      <c r="J36">
        <v>368624.31985846238</v>
      </c>
      <c r="K36">
        <v>6227739.4250336662</v>
      </c>
      <c r="L36">
        <v>1556934.856258417</v>
      </c>
      <c r="M36">
        <v>4670804.5687752496</v>
      </c>
      <c r="N36">
        <v>40.959942043605359</v>
      </c>
      <c r="O36">
        <v>55.525161360794918</v>
      </c>
      <c r="P36">
        <v>32.5486488334817</v>
      </c>
      <c r="Q36">
        <v>1574322.1209220749</v>
      </c>
    </row>
    <row r="37" spans="1:17" x14ac:dyDescent="0.25">
      <c r="A37" s="2">
        <v>45992</v>
      </c>
      <c r="B37">
        <v>35566802.479999997</v>
      </c>
      <c r="C37">
        <v>21820730.16</v>
      </c>
      <c r="D37">
        <v>13746072.32</v>
      </c>
      <c r="E37">
        <v>4231296.7931092028</v>
      </c>
      <c r="F37">
        <v>2070685.9760408769</v>
      </c>
      <c r="G37">
        <v>2074447.0683926439</v>
      </c>
      <c r="H37">
        <v>794724.8079226691</v>
      </c>
      <c r="I37">
        <v>4574917.6745346114</v>
      </c>
      <c r="J37">
        <v>356279.29081230471</v>
      </c>
      <c r="K37">
        <v>4218638.3837223072</v>
      </c>
      <c r="L37">
        <v>1054659.595930577</v>
      </c>
      <c r="M37">
        <v>3163978.7877917299</v>
      </c>
      <c r="N37">
        <v>42.792621674366728</v>
      </c>
      <c r="O37">
        <v>51.620670139728077</v>
      </c>
      <c r="P37">
        <v>38.814789313055137</v>
      </c>
      <c r="Q37">
        <v>1532667.5274647931</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2"/>
  <sheetViews>
    <sheetView tabSelected="1" zoomScale="85" zoomScaleNormal="85" workbookViewId="0">
      <pane ySplit="1" topLeftCell="A2" activePane="bottomLeft" state="frozen"/>
      <selection pane="bottomLeft" activeCell="G12" sqref="G12"/>
    </sheetView>
  </sheetViews>
  <sheetFormatPr defaultRowHeight="15" x14ac:dyDescent="0.25"/>
  <cols>
    <col min="1" max="1" width="27.5703125" bestFit="1" customWidth="1"/>
    <col min="2" max="2" width="14.5703125" bestFit="1" customWidth="1"/>
    <col min="3" max="3" width="22.28515625" bestFit="1" customWidth="1"/>
    <col min="4" max="4" width="16" customWidth="1"/>
    <col min="5" max="5" width="18.140625" customWidth="1"/>
    <col min="6" max="6" width="20.7109375" customWidth="1"/>
    <col min="7" max="7" width="18.85546875" bestFit="1" customWidth="1"/>
    <col min="8" max="8" width="22.28515625" bestFit="1" customWidth="1"/>
    <col min="10" max="10" width="14.42578125" bestFit="1" customWidth="1"/>
    <col min="11" max="11" width="16" bestFit="1" customWidth="1"/>
  </cols>
  <sheetData>
    <row r="1" spans="1:28" ht="16.5" thickBot="1" x14ac:dyDescent="0.3">
      <c r="A1" s="39" t="s">
        <v>95</v>
      </c>
      <c r="B1" s="39" t="s">
        <v>96</v>
      </c>
      <c r="C1" s="39" t="s">
        <v>97</v>
      </c>
      <c r="D1" s="39" t="s">
        <v>138</v>
      </c>
      <c r="E1" s="39" t="s">
        <v>139</v>
      </c>
      <c r="F1" s="39" t="s">
        <v>140</v>
      </c>
      <c r="H1" s="49" t="s">
        <v>150</v>
      </c>
      <c r="I1" s="50">
        <v>1</v>
      </c>
    </row>
    <row r="2" spans="1:28" x14ac:dyDescent="0.25">
      <c r="A2" s="40" t="s">
        <v>74</v>
      </c>
      <c r="B2" s="38"/>
      <c r="C2" s="38"/>
      <c r="D2" s="38"/>
      <c r="E2" s="38"/>
      <c r="F2" s="38"/>
    </row>
    <row r="3" spans="1:28" x14ac:dyDescent="0.25">
      <c r="A3" s="19" t="s">
        <v>28</v>
      </c>
      <c r="B3" s="17">
        <f>CHOOSE($I$1,D3,E3,F3)</f>
        <v>0.1</v>
      </c>
      <c r="C3" s="15" t="s">
        <v>89</v>
      </c>
      <c r="D3" s="10">
        <v>0.1</v>
      </c>
      <c r="E3" s="10">
        <v>0.15</v>
      </c>
      <c r="F3" s="10">
        <v>0.02</v>
      </c>
    </row>
    <row r="4" spans="1:28" x14ac:dyDescent="0.25">
      <c r="A4" s="20" t="s">
        <v>29</v>
      </c>
      <c r="B4" s="23">
        <f t="shared" ref="B4:B8" si="0">CHOOSE($I$1,D4,E4,F4)</f>
        <v>0.08</v>
      </c>
      <c r="C4" s="16" t="s">
        <v>89</v>
      </c>
      <c r="D4" s="53">
        <v>0.08</v>
      </c>
      <c r="E4" s="53">
        <v>0.12</v>
      </c>
      <c r="F4" s="53">
        <v>0.03</v>
      </c>
    </row>
    <row r="5" spans="1:28" x14ac:dyDescent="0.25">
      <c r="A5" s="19" t="s">
        <v>75</v>
      </c>
      <c r="B5" s="17">
        <f t="shared" si="0"/>
        <v>0.06</v>
      </c>
      <c r="C5" s="15" t="s">
        <v>89</v>
      </c>
      <c r="D5" s="10">
        <v>0.06</v>
      </c>
      <c r="E5" s="10">
        <v>0.1</v>
      </c>
      <c r="F5" s="10">
        <v>0.01</v>
      </c>
    </row>
    <row r="6" spans="1:28" x14ac:dyDescent="0.25">
      <c r="A6" s="21" t="s">
        <v>151</v>
      </c>
      <c r="B6" s="23"/>
      <c r="C6" s="16"/>
      <c r="D6" s="16"/>
      <c r="E6" s="16"/>
      <c r="F6" s="16"/>
    </row>
    <row r="7" spans="1:28" x14ac:dyDescent="0.25">
      <c r="A7" s="19" t="s">
        <v>76</v>
      </c>
      <c r="B7" s="17">
        <f t="shared" si="0"/>
        <v>0.61</v>
      </c>
      <c r="C7" s="15" t="s">
        <v>90</v>
      </c>
      <c r="D7" s="10">
        <v>0.61</v>
      </c>
      <c r="E7" s="10">
        <v>0.57999999999999996</v>
      </c>
      <c r="F7" s="10">
        <v>0.65</v>
      </c>
    </row>
    <row r="8" spans="1:28" x14ac:dyDescent="0.25">
      <c r="A8" s="20" t="s">
        <v>77</v>
      </c>
      <c r="B8" s="23">
        <f t="shared" si="0"/>
        <v>0.56999999999999995</v>
      </c>
      <c r="C8" s="16" t="s">
        <v>90</v>
      </c>
      <c r="D8" s="53">
        <v>0.56999999999999995</v>
      </c>
      <c r="E8" s="53">
        <v>0.55000000000000004</v>
      </c>
      <c r="F8" s="53">
        <v>0.6</v>
      </c>
    </row>
    <row r="9" spans="1:28" x14ac:dyDescent="0.25">
      <c r="A9" s="19" t="s">
        <v>78</v>
      </c>
      <c r="B9" s="17">
        <f>CHOOSE($I$1,D9,E9,F9)</f>
        <v>0.63</v>
      </c>
      <c r="C9" s="15" t="s">
        <v>90</v>
      </c>
      <c r="D9" s="10">
        <v>0.63</v>
      </c>
      <c r="E9" s="10">
        <v>0.6</v>
      </c>
      <c r="F9" s="10">
        <v>0.68</v>
      </c>
    </row>
    <row r="10" spans="1:28" x14ac:dyDescent="0.25">
      <c r="A10" s="22" t="s">
        <v>79</v>
      </c>
      <c r="B10" s="23"/>
      <c r="C10" s="16"/>
      <c r="D10" s="16"/>
      <c r="E10" s="16"/>
      <c r="F10" s="16"/>
    </row>
    <row r="11" spans="1:28" ht="30" x14ac:dyDescent="0.25">
      <c r="A11" s="19" t="s">
        <v>80</v>
      </c>
      <c r="B11" s="17">
        <f>CHOOSE($I$1,D11,E11,F11)</f>
        <v>0.105</v>
      </c>
      <c r="C11" s="15" t="s">
        <v>91</v>
      </c>
      <c r="D11" s="54">
        <v>0.105</v>
      </c>
      <c r="E11" s="54">
        <v>0.105</v>
      </c>
      <c r="F11" s="54">
        <v>0.105</v>
      </c>
      <c r="Y11" s="61" t="s">
        <v>7</v>
      </c>
      <c r="Z11" s="62">
        <v>0.23599999999999999</v>
      </c>
      <c r="AA11" s="61" t="s">
        <v>45</v>
      </c>
      <c r="AB11" s="63">
        <v>100000000</v>
      </c>
    </row>
    <row r="12" spans="1:28" ht="45" x14ac:dyDescent="0.25">
      <c r="A12" s="20" t="s">
        <v>81</v>
      </c>
      <c r="B12" s="23">
        <f>CHOOSE($I$1,D12,E12,F12)</f>
        <v>5.5E-2</v>
      </c>
      <c r="C12" s="16" t="s">
        <v>91</v>
      </c>
      <c r="D12" s="55">
        <v>5.5E-2</v>
      </c>
      <c r="E12" s="55">
        <v>5.5E-2</v>
      </c>
      <c r="F12" s="55">
        <v>5.5E-2</v>
      </c>
      <c r="Y12" s="61" t="s">
        <v>29</v>
      </c>
      <c r="Z12" s="62">
        <v>0.221</v>
      </c>
      <c r="AA12" s="61" t="s">
        <v>129</v>
      </c>
      <c r="AB12" s="63">
        <v>70000000</v>
      </c>
    </row>
    <row r="13" spans="1:28" x14ac:dyDescent="0.25">
      <c r="A13" s="19" t="s">
        <v>17</v>
      </c>
      <c r="B13" s="17">
        <f>CHOOSE($I$1,D13,E13,F13)</f>
        <v>6.5000000000000002E-2</v>
      </c>
      <c r="C13" s="15" t="s">
        <v>91</v>
      </c>
      <c r="D13" s="54">
        <v>6.5000000000000002E-2</v>
      </c>
      <c r="E13" s="54">
        <v>6.5000000000000002E-2</v>
      </c>
      <c r="F13" s="54">
        <v>6.5000000000000002E-2</v>
      </c>
      <c r="Y13" t="s">
        <v>141</v>
      </c>
      <c r="Z13" s="8">
        <v>0.60399999999999998</v>
      </c>
      <c r="AA13" t="s">
        <v>142</v>
      </c>
      <c r="AB13" s="64">
        <v>0.4</v>
      </c>
    </row>
    <row r="14" spans="1:28" x14ac:dyDescent="0.25">
      <c r="A14" s="21" t="s">
        <v>82</v>
      </c>
      <c r="B14" s="23"/>
      <c r="C14" s="16"/>
      <c r="D14" s="16"/>
      <c r="E14" s="16"/>
      <c r="F14" s="16"/>
    </row>
    <row r="15" spans="1:28" x14ac:dyDescent="0.25">
      <c r="A15" s="19" t="s">
        <v>83</v>
      </c>
      <c r="B15" s="52">
        <f>CHOOSE($I$1,D15,E15,F15)</f>
        <v>42</v>
      </c>
      <c r="C15" s="15" t="s">
        <v>92</v>
      </c>
      <c r="D15" s="56">
        <v>42</v>
      </c>
      <c r="E15" s="56">
        <v>42</v>
      </c>
      <c r="F15" s="56">
        <v>42</v>
      </c>
    </row>
    <row r="16" spans="1:28" x14ac:dyDescent="0.25">
      <c r="A16" s="20" t="s">
        <v>85</v>
      </c>
      <c r="B16" s="57">
        <f>CHOOSE($I$1,D16,E16,F16)</f>
        <v>52</v>
      </c>
      <c r="C16" s="16" t="s">
        <v>92</v>
      </c>
      <c r="D16" s="58">
        <v>52</v>
      </c>
      <c r="E16" s="58">
        <v>52</v>
      </c>
      <c r="F16" s="58">
        <v>52</v>
      </c>
    </row>
    <row r="17" spans="1:6" x14ac:dyDescent="0.25">
      <c r="A17" s="19" t="s">
        <v>84</v>
      </c>
      <c r="B17" s="52">
        <f>CHOOSE($I$1,D17,E17,F17)</f>
        <v>38</v>
      </c>
      <c r="C17" s="15" t="s">
        <v>92</v>
      </c>
      <c r="D17" s="51">
        <v>38</v>
      </c>
      <c r="E17" s="51">
        <v>38</v>
      </c>
      <c r="F17" s="51">
        <v>38</v>
      </c>
    </row>
    <row r="18" spans="1:6" x14ac:dyDescent="0.25">
      <c r="A18" s="22" t="s">
        <v>86</v>
      </c>
      <c r="B18" s="57"/>
      <c r="C18" s="16"/>
      <c r="D18" s="16"/>
      <c r="E18" s="16"/>
      <c r="F18" s="16"/>
    </row>
    <row r="19" spans="1:6" x14ac:dyDescent="0.25">
      <c r="A19" s="19" t="s">
        <v>27</v>
      </c>
      <c r="B19" s="17">
        <f t="shared" ref="B19:B20" si="1">CHOOSE($I$1,D19,E19,F19)</f>
        <v>4.4999999999999998E-2</v>
      </c>
      <c r="C19" s="15" t="s">
        <v>91</v>
      </c>
      <c r="D19" s="54">
        <v>4.4999999999999998E-2</v>
      </c>
      <c r="E19" s="54">
        <v>4.4999999999999998E-2</v>
      </c>
      <c r="F19" s="54">
        <v>4.4999999999999998E-2</v>
      </c>
    </row>
    <row r="20" spans="1:6" x14ac:dyDescent="0.25">
      <c r="A20" s="20" t="s">
        <v>30</v>
      </c>
      <c r="B20" s="23">
        <f t="shared" si="1"/>
        <v>0.25</v>
      </c>
      <c r="C20" s="16" t="s">
        <v>93</v>
      </c>
      <c r="D20" s="59">
        <v>0.25</v>
      </c>
      <c r="E20" s="59">
        <v>0.25</v>
      </c>
      <c r="F20" s="59">
        <v>0.25</v>
      </c>
    </row>
    <row r="21" spans="1:6" x14ac:dyDescent="0.25">
      <c r="A21" s="19" t="s">
        <v>87</v>
      </c>
      <c r="B21" s="18">
        <f>CHOOSE($I$1,D21,E21,F21)</f>
        <v>5000000</v>
      </c>
      <c r="C21" s="15" t="s">
        <v>94</v>
      </c>
      <c r="D21" s="34">
        <v>5000000</v>
      </c>
      <c r="E21" s="34">
        <v>5000000</v>
      </c>
      <c r="F21" s="34">
        <v>5000000</v>
      </c>
    </row>
    <row r="22" spans="1:6" ht="15.75" thickBot="1" x14ac:dyDescent="0.3">
      <c r="A22" s="24" t="s">
        <v>88</v>
      </c>
      <c r="B22" s="25">
        <f>CHOOSE($I$1,D22,E22,F22)</f>
        <v>15000000</v>
      </c>
      <c r="C22" s="26" t="s">
        <v>94</v>
      </c>
      <c r="D22" s="60">
        <v>15000000</v>
      </c>
      <c r="E22" s="60">
        <v>15000000</v>
      </c>
      <c r="F22" s="60">
        <v>15000000</v>
      </c>
    </row>
  </sheetData>
  <pageMargins left="0.75" right="0.75" top="1" bottom="1" header="0.5" footer="0.5"/>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pane ySplit="1" topLeftCell="A2" activePane="bottomLeft" state="frozen"/>
      <selection pane="bottomLeft" activeCell="D3" sqref="D3"/>
    </sheetView>
  </sheetViews>
  <sheetFormatPr defaultRowHeight="15" x14ac:dyDescent="0.25"/>
  <cols>
    <col min="1" max="4" width="20" customWidth="1"/>
  </cols>
  <sheetData>
    <row r="1" spans="1:4" x14ac:dyDescent="0.25">
      <c r="A1" s="1" t="s">
        <v>31</v>
      </c>
      <c r="B1" s="1" t="s">
        <v>32</v>
      </c>
      <c r="C1" s="1" t="s">
        <v>33</v>
      </c>
      <c r="D1" s="1" t="s">
        <v>34</v>
      </c>
    </row>
    <row r="2" spans="1:4" x14ac:dyDescent="0.25">
      <c r="A2" t="s">
        <v>35</v>
      </c>
      <c r="B2">
        <v>0</v>
      </c>
      <c r="C2">
        <v>0</v>
      </c>
      <c r="D2">
        <v>0</v>
      </c>
    </row>
    <row r="3" spans="1:4" x14ac:dyDescent="0.25">
      <c r="A3" t="s">
        <v>36</v>
      </c>
      <c r="B3">
        <v>0.05</v>
      </c>
      <c r="C3">
        <v>-1.4999999999999999E-2</v>
      </c>
      <c r="D3">
        <v>-5.0000000000000001E-3</v>
      </c>
    </row>
    <row r="4" spans="1:4" x14ac:dyDescent="0.25">
      <c r="A4" t="s">
        <v>37</v>
      </c>
      <c r="B4">
        <v>-0.06</v>
      </c>
      <c r="C4">
        <v>0.02</v>
      </c>
      <c r="D4">
        <v>1.4999999999999999E-2</v>
      </c>
    </row>
  </sheetData>
  <autoFilter ref="A1:D4" xr:uid="{00000000-0009-0000-0000-000003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73"/>
  <sheetViews>
    <sheetView workbookViewId="0">
      <pane ySplit="1" topLeftCell="A2" activePane="bottomLeft" state="frozen"/>
      <selection pane="bottomLeft"/>
    </sheetView>
  </sheetViews>
  <sheetFormatPr defaultRowHeight="15" x14ac:dyDescent="0.25"/>
  <cols>
    <col min="1" max="4" width="20" customWidth="1"/>
  </cols>
  <sheetData>
    <row r="1" spans="1:4" x14ac:dyDescent="0.25">
      <c r="A1" s="1" t="s">
        <v>0</v>
      </c>
      <c r="B1" s="1" t="s">
        <v>1</v>
      </c>
      <c r="C1" s="1" t="s">
        <v>5</v>
      </c>
      <c r="D1" s="1" t="s">
        <v>6</v>
      </c>
    </row>
    <row r="2" spans="1:4" x14ac:dyDescent="0.25">
      <c r="A2" s="2">
        <v>46023</v>
      </c>
      <c r="B2" t="s">
        <v>7</v>
      </c>
      <c r="C2">
        <v>21390566.780000001</v>
      </c>
      <c r="D2">
        <v>13048245.74</v>
      </c>
    </row>
    <row r="3" spans="1:4" x14ac:dyDescent="0.25">
      <c r="A3" s="2">
        <v>46023</v>
      </c>
      <c r="B3" t="s">
        <v>12</v>
      </c>
      <c r="C3">
        <v>13439948.68</v>
      </c>
      <c r="D3">
        <v>7660770.75</v>
      </c>
    </row>
    <row r="4" spans="1:4" x14ac:dyDescent="0.25">
      <c r="A4" s="2">
        <v>46023</v>
      </c>
      <c r="B4" t="s">
        <v>13</v>
      </c>
      <c r="C4">
        <v>8936927.3000000007</v>
      </c>
      <c r="D4">
        <v>5630264.2000000002</v>
      </c>
    </row>
    <row r="5" spans="1:4" x14ac:dyDescent="0.25">
      <c r="A5" s="2">
        <v>46054</v>
      </c>
      <c r="B5" t="s">
        <v>7</v>
      </c>
      <c r="C5">
        <v>22770816.449999999</v>
      </c>
      <c r="D5">
        <v>13890198.029999999</v>
      </c>
    </row>
    <row r="6" spans="1:4" x14ac:dyDescent="0.25">
      <c r="A6" s="2">
        <v>46054</v>
      </c>
      <c r="B6" t="s">
        <v>12</v>
      </c>
      <c r="C6">
        <v>11806491.460000001</v>
      </c>
      <c r="D6">
        <v>6729700.1299999999</v>
      </c>
    </row>
    <row r="7" spans="1:4" x14ac:dyDescent="0.25">
      <c r="A7" s="2">
        <v>46054</v>
      </c>
      <c r="B7" t="s">
        <v>13</v>
      </c>
      <c r="C7">
        <v>10953972.890000001</v>
      </c>
      <c r="D7">
        <v>6901002.9199999999</v>
      </c>
    </row>
    <row r="8" spans="1:4" x14ac:dyDescent="0.25">
      <c r="A8" s="2">
        <v>46082</v>
      </c>
      <c r="B8" t="s">
        <v>7</v>
      </c>
      <c r="C8">
        <v>21140565.02</v>
      </c>
      <c r="D8">
        <v>12895744.66</v>
      </c>
    </row>
    <row r="9" spans="1:4" x14ac:dyDescent="0.25">
      <c r="A9" s="2">
        <v>46082</v>
      </c>
      <c r="B9" t="s">
        <v>12</v>
      </c>
      <c r="C9">
        <v>15196193.289999999</v>
      </c>
      <c r="D9">
        <v>8661830.1699999999</v>
      </c>
    </row>
    <row r="10" spans="1:4" x14ac:dyDescent="0.25">
      <c r="A10" s="2">
        <v>46082</v>
      </c>
      <c r="B10" t="s">
        <v>13</v>
      </c>
      <c r="C10">
        <v>8736337.4199999999</v>
      </c>
      <c r="D10">
        <v>5503892.5700000003</v>
      </c>
    </row>
    <row r="11" spans="1:4" x14ac:dyDescent="0.25">
      <c r="A11" s="2">
        <v>46113</v>
      </c>
      <c r="B11" t="s">
        <v>7</v>
      </c>
      <c r="C11">
        <v>22100939.93</v>
      </c>
      <c r="D11">
        <v>13481573.359999999</v>
      </c>
    </row>
    <row r="12" spans="1:4" x14ac:dyDescent="0.25">
      <c r="A12" s="2">
        <v>46113</v>
      </c>
      <c r="B12" t="s">
        <v>12</v>
      </c>
      <c r="C12">
        <v>17394762.420000002</v>
      </c>
      <c r="D12">
        <v>9915014.5800000001</v>
      </c>
    </row>
    <row r="13" spans="1:4" x14ac:dyDescent="0.25">
      <c r="A13" s="2">
        <v>46113</v>
      </c>
      <c r="B13" t="s">
        <v>13</v>
      </c>
      <c r="C13">
        <v>10870177.25</v>
      </c>
      <c r="D13">
        <v>6848211.6699999999</v>
      </c>
    </row>
    <row r="14" spans="1:4" x14ac:dyDescent="0.25">
      <c r="A14" s="2">
        <v>46143</v>
      </c>
      <c r="B14" t="s">
        <v>7</v>
      </c>
      <c r="C14">
        <v>21606484.98</v>
      </c>
      <c r="D14">
        <v>13179955.84</v>
      </c>
    </row>
    <row r="15" spans="1:4" x14ac:dyDescent="0.25">
      <c r="A15" s="2">
        <v>46143</v>
      </c>
      <c r="B15" t="s">
        <v>12</v>
      </c>
      <c r="C15">
        <v>10229463.4</v>
      </c>
      <c r="D15">
        <v>5830794.1399999997</v>
      </c>
    </row>
    <row r="16" spans="1:4" x14ac:dyDescent="0.25">
      <c r="A16" s="2">
        <v>46143</v>
      </c>
      <c r="B16" t="s">
        <v>13</v>
      </c>
      <c r="C16">
        <v>9428768.8800000008</v>
      </c>
      <c r="D16">
        <v>5940124.4000000004</v>
      </c>
    </row>
    <row r="17" spans="1:4" x14ac:dyDescent="0.25">
      <c r="A17" s="2">
        <v>46174</v>
      </c>
      <c r="B17" t="s">
        <v>7</v>
      </c>
      <c r="C17">
        <v>23361162.59</v>
      </c>
      <c r="D17">
        <v>14250309.18</v>
      </c>
    </row>
    <row r="18" spans="1:4" x14ac:dyDescent="0.25">
      <c r="A18" s="2">
        <v>46174</v>
      </c>
      <c r="B18" t="s">
        <v>12</v>
      </c>
      <c r="C18">
        <v>13980601.109999999</v>
      </c>
      <c r="D18">
        <v>7968942.6299999999</v>
      </c>
    </row>
    <row r="19" spans="1:4" x14ac:dyDescent="0.25">
      <c r="A19" s="2">
        <v>46174</v>
      </c>
      <c r="B19" t="s">
        <v>13</v>
      </c>
      <c r="C19">
        <v>9411045.9299999997</v>
      </c>
      <c r="D19">
        <v>5928958.9400000004</v>
      </c>
    </row>
    <row r="20" spans="1:4" x14ac:dyDescent="0.25">
      <c r="A20" s="2">
        <v>46204</v>
      </c>
      <c r="B20" t="s">
        <v>7</v>
      </c>
      <c r="C20">
        <v>19299854.84</v>
      </c>
      <c r="D20">
        <v>11772911.449999999</v>
      </c>
    </row>
    <row r="21" spans="1:4" x14ac:dyDescent="0.25">
      <c r="A21" s="2">
        <v>46204</v>
      </c>
      <c r="B21" t="s">
        <v>12</v>
      </c>
      <c r="C21">
        <v>12958621.869999999</v>
      </c>
      <c r="D21">
        <v>7386414.4699999997</v>
      </c>
    </row>
    <row r="22" spans="1:4" x14ac:dyDescent="0.25">
      <c r="A22" s="2">
        <v>46204</v>
      </c>
      <c r="B22" t="s">
        <v>13</v>
      </c>
      <c r="C22">
        <v>8780590.0999999996</v>
      </c>
      <c r="D22">
        <v>5531771.7699999996</v>
      </c>
    </row>
    <row r="23" spans="1:4" x14ac:dyDescent="0.25">
      <c r="A23" s="2">
        <v>46235</v>
      </c>
      <c r="B23" t="s">
        <v>7</v>
      </c>
      <c r="C23">
        <v>22001169.27</v>
      </c>
      <c r="D23">
        <v>13420713.25</v>
      </c>
    </row>
    <row r="24" spans="1:4" x14ac:dyDescent="0.25">
      <c r="A24" s="2">
        <v>46235</v>
      </c>
      <c r="B24" t="s">
        <v>12</v>
      </c>
      <c r="C24">
        <v>13416996.84</v>
      </c>
      <c r="D24">
        <v>7647688.2000000002</v>
      </c>
    </row>
    <row r="25" spans="1:4" x14ac:dyDescent="0.25">
      <c r="A25" s="2">
        <v>46235</v>
      </c>
      <c r="B25" t="s">
        <v>13</v>
      </c>
      <c r="C25">
        <v>8317335.8200000003</v>
      </c>
      <c r="D25">
        <v>5239921.57</v>
      </c>
    </row>
    <row r="26" spans="1:4" x14ac:dyDescent="0.25">
      <c r="A26" s="2">
        <v>46266</v>
      </c>
      <c r="B26" t="s">
        <v>7</v>
      </c>
      <c r="C26">
        <v>21750318.289999999</v>
      </c>
      <c r="D26">
        <v>13267694.16</v>
      </c>
    </row>
    <row r="27" spans="1:4" x14ac:dyDescent="0.25">
      <c r="A27" s="2">
        <v>46266</v>
      </c>
      <c r="B27" t="s">
        <v>12</v>
      </c>
      <c r="C27">
        <v>12309349.17</v>
      </c>
      <c r="D27">
        <v>7016329.0300000003</v>
      </c>
    </row>
    <row r="28" spans="1:4" x14ac:dyDescent="0.25">
      <c r="A28" s="2">
        <v>46266</v>
      </c>
      <c r="B28" t="s">
        <v>13</v>
      </c>
      <c r="C28">
        <v>10855567.65</v>
      </c>
      <c r="D28">
        <v>6839007.6200000001</v>
      </c>
    </row>
    <row r="29" spans="1:4" x14ac:dyDescent="0.25">
      <c r="A29" s="2">
        <v>46296</v>
      </c>
      <c r="B29" t="s">
        <v>7</v>
      </c>
      <c r="C29">
        <v>15600550.76</v>
      </c>
      <c r="D29">
        <v>9516335.9700000007</v>
      </c>
    </row>
    <row r="30" spans="1:4" x14ac:dyDescent="0.25">
      <c r="A30" s="2">
        <v>46296</v>
      </c>
      <c r="B30" t="s">
        <v>12</v>
      </c>
      <c r="C30">
        <v>13731674.18</v>
      </c>
      <c r="D30">
        <v>7827054.2800000003</v>
      </c>
    </row>
    <row r="31" spans="1:4" x14ac:dyDescent="0.25">
      <c r="A31" s="2">
        <v>46296</v>
      </c>
      <c r="B31" t="s">
        <v>13</v>
      </c>
      <c r="C31">
        <v>7890064.1900000004</v>
      </c>
      <c r="D31">
        <v>4970740.4400000004</v>
      </c>
    </row>
    <row r="32" spans="1:4" x14ac:dyDescent="0.25">
      <c r="A32" s="2">
        <v>46327</v>
      </c>
      <c r="B32" t="s">
        <v>7</v>
      </c>
      <c r="C32">
        <v>20090819.239999998</v>
      </c>
      <c r="D32">
        <v>12255399.74</v>
      </c>
    </row>
    <row r="33" spans="1:4" x14ac:dyDescent="0.25">
      <c r="A33" s="2">
        <v>46327</v>
      </c>
      <c r="B33" t="s">
        <v>12</v>
      </c>
      <c r="C33">
        <v>13745922.48</v>
      </c>
      <c r="D33">
        <v>7835175.8200000003</v>
      </c>
    </row>
    <row r="34" spans="1:4" x14ac:dyDescent="0.25">
      <c r="A34" s="2">
        <v>46327</v>
      </c>
      <c r="B34" t="s">
        <v>13</v>
      </c>
      <c r="C34">
        <v>11157079.970000001</v>
      </c>
      <c r="D34">
        <v>7028960.3799999999</v>
      </c>
    </row>
    <row r="35" spans="1:4" x14ac:dyDescent="0.25">
      <c r="A35" s="2">
        <v>46357</v>
      </c>
      <c r="B35" t="s">
        <v>7</v>
      </c>
      <c r="C35">
        <v>19275840.879999999</v>
      </c>
      <c r="D35">
        <v>11758262.93</v>
      </c>
    </row>
    <row r="36" spans="1:4" x14ac:dyDescent="0.25">
      <c r="A36" s="2">
        <v>46357</v>
      </c>
      <c r="B36" t="s">
        <v>12</v>
      </c>
      <c r="C36">
        <v>10885681.82</v>
      </c>
      <c r="D36">
        <v>6204838.6399999997</v>
      </c>
    </row>
    <row r="37" spans="1:4" x14ac:dyDescent="0.25">
      <c r="A37" s="2">
        <v>46357</v>
      </c>
      <c r="B37" t="s">
        <v>13</v>
      </c>
      <c r="C37">
        <v>8508431.9100000001</v>
      </c>
      <c r="D37">
        <v>5360312.0999999996</v>
      </c>
    </row>
    <row r="38" spans="1:4" x14ac:dyDescent="0.25">
      <c r="A38" s="2">
        <v>46388</v>
      </c>
      <c r="B38" t="s">
        <v>7</v>
      </c>
      <c r="C38">
        <v>23654954.59</v>
      </c>
      <c r="D38">
        <v>14429522.300000001</v>
      </c>
    </row>
    <row r="39" spans="1:4" x14ac:dyDescent="0.25">
      <c r="A39" s="2">
        <v>46388</v>
      </c>
      <c r="B39" t="s">
        <v>12</v>
      </c>
      <c r="C39">
        <v>14321818.949999999</v>
      </c>
      <c r="D39">
        <v>8163436.7999999998</v>
      </c>
    </row>
    <row r="40" spans="1:4" x14ac:dyDescent="0.25">
      <c r="A40" s="2">
        <v>46388</v>
      </c>
      <c r="B40" t="s">
        <v>13</v>
      </c>
      <c r="C40">
        <v>9323195.4700000007</v>
      </c>
      <c r="D40">
        <v>5873613.1500000004</v>
      </c>
    </row>
    <row r="41" spans="1:4" x14ac:dyDescent="0.25">
      <c r="A41" s="2">
        <v>46419</v>
      </c>
      <c r="B41" t="s">
        <v>7</v>
      </c>
      <c r="C41">
        <v>24671978.02</v>
      </c>
      <c r="D41">
        <v>15049906.59</v>
      </c>
    </row>
    <row r="42" spans="1:4" x14ac:dyDescent="0.25">
      <c r="A42" s="2">
        <v>46419</v>
      </c>
      <c r="B42" t="s">
        <v>12</v>
      </c>
      <c r="C42">
        <v>12663105.5</v>
      </c>
      <c r="D42">
        <v>7217970.1299999999</v>
      </c>
    </row>
    <row r="43" spans="1:4" x14ac:dyDescent="0.25">
      <c r="A43" s="2">
        <v>46419</v>
      </c>
      <c r="B43" t="s">
        <v>13</v>
      </c>
      <c r="C43">
        <v>11096785.07</v>
      </c>
      <c r="D43">
        <v>6990974.5999999996</v>
      </c>
    </row>
    <row r="44" spans="1:4" x14ac:dyDescent="0.25">
      <c r="A44" s="2">
        <v>46447</v>
      </c>
      <c r="B44" t="s">
        <v>7</v>
      </c>
      <c r="C44">
        <v>23309625.98</v>
      </c>
      <c r="D44">
        <v>14218871.85</v>
      </c>
    </row>
    <row r="45" spans="1:4" x14ac:dyDescent="0.25">
      <c r="A45" s="2">
        <v>46447</v>
      </c>
      <c r="B45" t="s">
        <v>12</v>
      </c>
      <c r="C45">
        <v>16495487.76</v>
      </c>
      <c r="D45">
        <v>9402428.0199999996</v>
      </c>
    </row>
    <row r="46" spans="1:4" x14ac:dyDescent="0.25">
      <c r="A46" s="2">
        <v>46447</v>
      </c>
      <c r="B46" t="s">
        <v>13</v>
      </c>
      <c r="C46">
        <v>9112182.2899999991</v>
      </c>
      <c r="D46">
        <v>5740674.8399999999</v>
      </c>
    </row>
    <row r="47" spans="1:4" x14ac:dyDescent="0.25">
      <c r="A47" s="2">
        <v>46478</v>
      </c>
      <c r="B47" t="s">
        <v>7</v>
      </c>
      <c r="C47">
        <v>23138318.27</v>
      </c>
      <c r="D47">
        <v>14114374.140000001</v>
      </c>
    </row>
    <row r="48" spans="1:4" x14ac:dyDescent="0.25">
      <c r="A48" s="2">
        <v>46478</v>
      </c>
      <c r="B48" t="s">
        <v>12</v>
      </c>
      <c r="C48">
        <v>18442201.620000001</v>
      </c>
      <c r="D48">
        <v>10512054.92</v>
      </c>
    </row>
    <row r="49" spans="1:4" x14ac:dyDescent="0.25">
      <c r="A49" s="2">
        <v>46478</v>
      </c>
      <c r="B49" t="s">
        <v>13</v>
      </c>
      <c r="C49">
        <v>11439045.25</v>
      </c>
      <c r="D49">
        <v>7206598.5099999998</v>
      </c>
    </row>
    <row r="50" spans="1:4" x14ac:dyDescent="0.25">
      <c r="A50" s="2">
        <v>46508</v>
      </c>
      <c r="B50" t="s">
        <v>7</v>
      </c>
      <c r="C50">
        <v>23865079.469999999</v>
      </c>
      <c r="D50">
        <v>14557698.48</v>
      </c>
    </row>
    <row r="51" spans="1:4" x14ac:dyDescent="0.25">
      <c r="A51" s="2">
        <v>46508</v>
      </c>
      <c r="B51" t="s">
        <v>12</v>
      </c>
      <c r="C51">
        <v>10925440.310000001</v>
      </c>
      <c r="D51">
        <v>6227500.9800000004</v>
      </c>
    </row>
    <row r="52" spans="1:4" x14ac:dyDescent="0.25">
      <c r="A52" s="2">
        <v>46508</v>
      </c>
      <c r="B52" t="s">
        <v>13</v>
      </c>
      <c r="C52">
        <v>10273614.23</v>
      </c>
      <c r="D52">
        <v>6472376.9699999997</v>
      </c>
    </row>
    <row r="53" spans="1:4" x14ac:dyDescent="0.25">
      <c r="A53" s="2">
        <v>46539</v>
      </c>
      <c r="B53" t="s">
        <v>7</v>
      </c>
      <c r="C53">
        <v>25624679.710000001</v>
      </c>
      <c r="D53">
        <v>15631054.619999999</v>
      </c>
    </row>
    <row r="54" spans="1:4" x14ac:dyDescent="0.25">
      <c r="A54" s="2">
        <v>46539</v>
      </c>
      <c r="B54" t="s">
        <v>12</v>
      </c>
      <c r="C54">
        <v>15538583.52</v>
      </c>
      <c r="D54">
        <v>8856992.6099999994</v>
      </c>
    </row>
    <row r="55" spans="1:4" x14ac:dyDescent="0.25">
      <c r="A55" s="2">
        <v>46539</v>
      </c>
      <c r="B55" t="s">
        <v>13</v>
      </c>
      <c r="C55">
        <v>9885944.6600000001</v>
      </c>
      <c r="D55">
        <v>6228145.1399999997</v>
      </c>
    </row>
    <row r="56" spans="1:4" x14ac:dyDescent="0.25">
      <c r="A56" s="2">
        <v>46569</v>
      </c>
      <c r="B56" t="s">
        <v>7</v>
      </c>
      <c r="C56">
        <v>21190874.699999999</v>
      </c>
      <c r="D56">
        <v>12926433.57</v>
      </c>
    </row>
    <row r="57" spans="1:4" x14ac:dyDescent="0.25">
      <c r="A57" s="2">
        <v>46569</v>
      </c>
      <c r="B57" t="s">
        <v>12</v>
      </c>
      <c r="C57">
        <v>13874864.51</v>
      </c>
      <c r="D57">
        <v>7908672.7699999996</v>
      </c>
    </row>
    <row r="58" spans="1:4" x14ac:dyDescent="0.25">
      <c r="A58" s="2">
        <v>46569</v>
      </c>
      <c r="B58" t="s">
        <v>13</v>
      </c>
      <c r="C58">
        <v>9165222.2300000004</v>
      </c>
      <c r="D58">
        <v>5774090.0099999998</v>
      </c>
    </row>
    <row r="59" spans="1:4" x14ac:dyDescent="0.25">
      <c r="A59" s="2">
        <v>46600</v>
      </c>
      <c r="B59" t="s">
        <v>7</v>
      </c>
      <c r="C59">
        <v>24074810.43</v>
      </c>
      <c r="D59">
        <v>14685634.359999999</v>
      </c>
    </row>
    <row r="60" spans="1:4" x14ac:dyDescent="0.25">
      <c r="A60" s="2">
        <v>46600</v>
      </c>
      <c r="B60" t="s">
        <v>12</v>
      </c>
      <c r="C60">
        <v>14433291.609999999</v>
      </c>
      <c r="D60">
        <v>8226976.2199999997</v>
      </c>
    </row>
    <row r="61" spans="1:4" x14ac:dyDescent="0.25">
      <c r="A61" s="2">
        <v>46600</v>
      </c>
      <c r="B61" t="s">
        <v>13</v>
      </c>
      <c r="C61">
        <v>8765861.5099999998</v>
      </c>
      <c r="D61">
        <v>5522492.75</v>
      </c>
    </row>
    <row r="62" spans="1:4" x14ac:dyDescent="0.25">
      <c r="A62" s="2">
        <v>46631</v>
      </c>
      <c r="B62" t="s">
        <v>7</v>
      </c>
      <c r="C62">
        <v>24349216.510000002</v>
      </c>
      <c r="D62">
        <v>14853022.07</v>
      </c>
    </row>
    <row r="63" spans="1:4" x14ac:dyDescent="0.25">
      <c r="A63" s="2">
        <v>46631</v>
      </c>
      <c r="B63" t="s">
        <v>12</v>
      </c>
      <c r="C63">
        <v>13356550.720000001</v>
      </c>
      <c r="D63">
        <v>7613233.9100000001</v>
      </c>
    </row>
    <row r="64" spans="1:4" x14ac:dyDescent="0.25">
      <c r="A64" s="2">
        <v>46631</v>
      </c>
      <c r="B64" t="s">
        <v>13</v>
      </c>
      <c r="C64">
        <v>11516049.449999999</v>
      </c>
      <c r="D64">
        <v>7255111.1500000004</v>
      </c>
    </row>
    <row r="65" spans="1:4" x14ac:dyDescent="0.25">
      <c r="A65" s="2">
        <v>46661</v>
      </c>
      <c r="B65" t="s">
        <v>7</v>
      </c>
      <c r="C65">
        <v>17120809.879999999</v>
      </c>
      <c r="D65">
        <v>10443694.029999999</v>
      </c>
    </row>
    <row r="66" spans="1:4" x14ac:dyDescent="0.25">
      <c r="A66" s="2">
        <v>46661</v>
      </c>
      <c r="B66" t="s">
        <v>12</v>
      </c>
      <c r="C66">
        <v>14825793.689999999</v>
      </c>
      <c r="D66">
        <v>8450702.4100000001</v>
      </c>
    </row>
    <row r="67" spans="1:4" x14ac:dyDescent="0.25">
      <c r="A67" s="2">
        <v>46661</v>
      </c>
      <c r="B67" t="s">
        <v>13</v>
      </c>
      <c r="C67">
        <v>8585806.5500000007</v>
      </c>
      <c r="D67">
        <v>5409058.1299999999</v>
      </c>
    </row>
    <row r="68" spans="1:4" x14ac:dyDescent="0.25">
      <c r="A68" s="2">
        <v>46692</v>
      </c>
      <c r="B68" t="s">
        <v>7</v>
      </c>
      <c r="C68">
        <v>22845074.210000001</v>
      </c>
      <c r="D68">
        <v>13935495.27</v>
      </c>
    </row>
    <row r="69" spans="1:4" x14ac:dyDescent="0.25">
      <c r="A69" s="2">
        <v>46692</v>
      </c>
      <c r="B69" t="s">
        <v>12</v>
      </c>
      <c r="C69">
        <v>14917056.689999999</v>
      </c>
      <c r="D69">
        <v>8502722.3100000005</v>
      </c>
    </row>
    <row r="70" spans="1:4" x14ac:dyDescent="0.25">
      <c r="A70" s="2">
        <v>46692</v>
      </c>
      <c r="B70" t="s">
        <v>13</v>
      </c>
      <c r="C70">
        <v>12370694.789999999</v>
      </c>
      <c r="D70">
        <v>7793537.7199999997</v>
      </c>
    </row>
    <row r="71" spans="1:4" x14ac:dyDescent="0.25">
      <c r="A71" s="2">
        <v>46722</v>
      </c>
      <c r="B71" t="s">
        <v>7</v>
      </c>
      <c r="C71">
        <v>20986447.800000001</v>
      </c>
      <c r="D71">
        <v>12801733.16</v>
      </c>
    </row>
    <row r="72" spans="1:4" x14ac:dyDescent="0.25">
      <c r="A72" s="2">
        <v>46722</v>
      </c>
      <c r="B72" t="s">
        <v>12</v>
      </c>
      <c r="C72">
        <v>11630597.65</v>
      </c>
      <c r="D72">
        <v>6629440.6600000001</v>
      </c>
    </row>
    <row r="73" spans="1:4" x14ac:dyDescent="0.25">
      <c r="A73" s="2">
        <v>46722</v>
      </c>
      <c r="B73" t="s">
        <v>13</v>
      </c>
      <c r="C73">
        <v>8758820.9499999993</v>
      </c>
      <c r="D73">
        <v>5518057.2000000002</v>
      </c>
    </row>
  </sheetData>
  <autoFilter ref="A1:D73" xr:uid="{00000000-0009-0000-0000-000004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98F7FB-AF42-47F2-914B-71007C8E4E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1_Executive_Summary</vt:lpstr>
      <vt:lpstr>Dashboard</vt:lpstr>
      <vt:lpstr>Forecast_Model</vt:lpstr>
      <vt:lpstr>Historical_Analysis</vt:lpstr>
      <vt:lpstr>Historical_Operations</vt:lpstr>
      <vt:lpstr>Historical_Financials</vt:lpstr>
      <vt:lpstr>Assumptions</vt:lpstr>
      <vt:lpstr>Scenarios</vt:lpstr>
      <vt:lpstr>Forecast_Drivers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Keshav</cp:lastModifiedBy>
  <dcterms:created xsi:type="dcterms:W3CDTF">2026-08-26T09:14:01Z</dcterms:created>
  <dcterms:modified xsi:type="dcterms:W3CDTF">2026-09-07T06:22:35Z</dcterms:modified>
</cp:coreProperties>
</file>